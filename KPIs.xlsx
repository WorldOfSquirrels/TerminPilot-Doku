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bsw-my.sharepoint.com/personal/leon_huttarsch_deutschebahn_com/Documents/Documents/Uni/4. Semester/SWE/"/>
    </mc:Choice>
  </mc:AlternateContent>
  <xr:revisionPtr revIDLastSave="138" documentId="8_{56190643-E6EB-489F-9145-2555006F29B8}" xr6:coauthVersionLast="47" xr6:coauthVersionMax="47" xr10:uidLastSave="{8D7C3B50-7E26-40C7-9BBC-F9EC73BE6EB1}"/>
  <bookViews>
    <workbookView xWindow="-108" yWindow="-108" windowWidth="23256" windowHeight="13896" firstSheet="1" activeTab="2" xr2:uid="{3E215010-3A47-482C-9083-5CED052AE8FE}"/>
  </bookViews>
  <sheets>
    <sheet name="KPI-Übersicht" sheetId="7" r:id="rId1"/>
    <sheet name="Usability-Test" sheetId="2" r:id="rId2"/>
    <sheet name="Kalendersynchronisation" sheetId="3" r:id="rId3"/>
    <sheet name="Funktionale Tests" sheetId="4" r:id="rId4"/>
    <sheet name="Verfügbarkeit" sheetId="5" r:id="rId5"/>
    <sheet name="Response Tim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7" l="1" a="1"/>
  <c r="B8" i="7" s="1"/>
  <c r="B7" i="7" a="1"/>
  <c r="B7" i="7" s="1"/>
  <c r="B6" i="7" a="1"/>
  <c r="B6" i="7" s="1"/>
  <c r="B5" i="7" a="1"/>
  <c r="B5" i="7" s="1"/>
  <c r="B4" i="7" a="1"/>
  <c r="B4" i="7" s="1"/>
  <c r="D3" i="6"/>
  <c r="D20" i="6"/>
  <c r="E20" i="6" s="1"/>
  <c r="D19" i="6"/>
  <c r="E19" i="6" s="1"/>
  <c r="D18" i="6"/>
  <c r="E18" i="6" s="1"/>
  <c r="D17" i="6"/>
  <c r="E17" i="6" s="1"/>
  <c r="D16" i="6"/>
  <c r="E16" i="6" s="1"/>
  <c r="D15" i="6"/>
  <c r="E15" i="6" s="1"/>
  <c r="D14" i="6"/>
  <c r="E14" i="6" s="1"/>
  <c r="D13" i="6"/>
  <c r="E13" i="6" s="1"/>
  <c r="D12" i="6"/>
  <c r="E12" i="6" s="1"/>
  <c r="D11" i="6"/>
  <c r="E11" i="6" s="1"/>
  <c r="D5" i="5"/>
  <c r="D4" i="5"/>
  <c r="D3" i="5"/>
  <c r="D5" i="4"/>
  <c r="D4" i="4"/>
  <c r="D3" i="4"/>
  <c r="D5" i="3"/>
  <c r="D4" i="3"/>
  <c r="D3" i="3"/>
  <c r="L6" i="2"/>
  <c r="L5" i="2"/>
  <c r="L4" i="2"/>
  <c r="L3" i="2"/>
  <c r="L2" i="2"/>
  <c r="D3" i="2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D4" i="6" l="1"/>
  <c r="D5" i="6"/>
  <c r="C8" i="7" s="1" a="1"/>
  <c r="C8" i="7" s="1"/>
  <c r="D8" i="7" s="1"/>
  <c r="D6" i="5"/>
  <c r="D6" i="4"/>
  <c r="D6" i="3"/>
  <c r="D5" i="2"/>
  <c r="D6" i="2" s="1"/>
  <c r="D4" i="2"/>
  <c r="D8" i="4" l="1"/>
  <c r="C6" i="7" a="1"/>
  <c r="C6" i="7" s="1"/>
  <c r="D6" i="7" s="1"/>
  <c r="D8" i="2"/>
  <c r="C4" i="7" a="1"/>
  <c r="C4" i="7" s="1"/>
  <c r="D4" i="7" s="1"/>
  <c r="D8" i="3"/>
  <c r="C5" i="7" a="1"/>
  <c r="C5" i="7" s="1"/>
  <c r="D5" i="7" s="1"/>
  <c r="D8" i="5"/>
  <c r="C7" i="7" a="1"/>
  <c r="C7" i="7" s="1"/>
  <c r="D7" i="7" s="1"/>
  <c r="D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<sst xmlns="http://schemas.openxmlformats.org/spreadsheetml/2006/main" count="229" uniqueCount="167">
  <si>
    <t>Usability-Test – TerminPilot</t>
  </si>
  <si>
    <t>KPI-AUSWERTUNG</t>
  </si>
  <si>
    <t>Anzahl der Testpersonen</t>
  </si>
  <si>
    <t>Durchschnittliche Gesamtbewertung</t>
  </si>
  <si>
    <t>Anzahl positiver Bewertungen</t>
  </si>
  <si>
    <t>Anteil positiver Bewertungen</t>
  </si>
  <si>
    <t>Zielwert</t>
  </si>
  <si>
    <t>KPI-Status</t>
  </si>
  <si>
    <t>BEWERTUNGSSKALA</t>
  </si>
  <si>
    <t>1 – stimme überhaupt nicht zu</t>
  </si>
  <si>
    <t>2 – stimme eher nicht zu</t>
  </si>
  <si>
    <t>3 – neutral</t>
  </si>
  <si>
    <t>4 – stimme eher zu</t>
  </si>
  <si>
    <t>5 – stimme vollständig zu</t>
  </si>
  <si>
    <t>Nur ganze Zahlen von 1 bis 5 eingeben.</t>
  </si>
  <si>
    <t>TESTERGEBNISSE</t>
  </si>
  <si>
    <t>Die Anwendung ist intuitiv bedienbar.</t>
  </si>
  <si>
    <t>Die Terminfindung ist verständlich.</t>
  </si>
  <si>
    <t>Die Darstellung der Informationen ist übersichtlich.</t>
  </si>
  <si>
    <t>Die Kalenderintegration ist nachvollziehbar.</t>
  </si>
  <si>
    <t>Ich würde TerminPilot erneut verwenden.</t>
  </si>
  <si>
    <t>Durchschnittliche Bewertung</t>
  </si>
  <si>
    <t>Positive Bewertung</t>
  </si>
  <si>
    <t>Intuitive Bedienung</t>
  </si>
  <si>
    <t>Verständliche Terminfindung</t>
  </si>
  <si>
    <t>Übersichtliche Darstellung</t>
  </si>
  <si>
    <t>Nachvollziehbare Kalenderintegration</t>
  </si>
  <si>
    <t>Erneute Verwendung</t>
  </si>
  <si>
    <t>Kalendersynchronisation – TerminPilot</t>
  </si>
  <si>
    <t>Anzahl der Tests</t>
  </si>
  <si>
    <t>Erfolgreiche Tests</t>
  </si>
  <si>
    <t>Fehlgeschlagene Tests</t>
  </si>
  <si>
    <t>Erfolgsquote</t>
  </si>
  <si>
    <t>ZULÄSSIGE WERTE</t>
  </si>
  <si>
    <t>Kalenderanbieter:</t>
  </si>
  <si>
    <t>Apple oder Google</t>
  </si>
  <si>
    <t>Status:</t>
  </si>
  <si>
    <t>Erfolgreich oder Fehlgeschlagen</t>
  </si>
  <si>
    <t>Testfall</t>
  </si>
  <si>
    <t>Kalenderanbieter</t>
  </si>
  <si>
    <t>Erwartetes Ergebnis</t>
  </si>
  <si>
    <t>Tatsächliches Ergebnis</t>
  </si>
  <si>
    <t>Status</t>
  </si>
  <si>
    <t>KS-01</t>
  </si>
  <si>
    <t>Apple</t>
  </si>
  <si>
    <t>Erfolgreich</t>
  </si>
  <si>
    <t>KS-02</t>
  </si>
  <si>
    <t>Google</t>
  </si>
  <si>
    <t>KS-03</t>
  </si>
  <si>
    <t>KS-04</t>
  </si>
  <si>
    <t>KS-05</t>
  </si>
  <si>
    <t>KS-06</t>
  </si>
  <si>
    <t>KS-07</t>
  </si>
  <si>
    <t>KS-08</t>
  </si>
  <si>
    <t>KS-09</t>
  </si>
  <si>
    <t>KS-10</t>
  </si>
  <si>
    <t>Funktionale Tests – TerminPilot</t>
  </si>
  <si>
    <t>Anzahl der Testfälle</t>
  </si>
  <si>
    <t>Bestandene Tests</t>
  </si>
  <si>
    <t>Fehlerrate</t>
  </si>
  <si>
    <t>Zielwert (maximal)</t>
  </si>
  <si>
    <t>Funktionsbereich</t>
  </si>
  <si>
    <t>FT-01</t>
  </si>
  <si>
    <t>Bestanden</t>
  </si>
  <si>
    <t>FT-02</t>
  </si>
  <si>
    <t>FT-03</t>
  </si>
  <si>
    <t>FT-04</t>
  </si>
  <si>
    <t>Terminfindung</t>
  </si>
  <si>
    <t>FT-05</t>
  </si>
  <si>
    <t>FT-06</t>
  </si>
  <si>
    <t>FT-07</t>
  </si>
  <si>
    <t>FT-08</t>
  </si>
  <si>
    <t>FT-09</t>
  </si>
  <si>
    <t>FT-10</t>
  </si>
  <si>
    <t>Datenschutz</t>
  </si>
  <si>
    <t>Kalendersynchronisation</t>
  </si>
  <si>
    <t>Verfügbarkeit – TerminPilot</t>
  </si>
  <si>
    <t>Anzahl der Prüfungen</t>
  </si>
  <si>
    <t>Erfolgreiche Prüfungen</t>
  </si>
  <si>
    <t>Fehlgeschlagene Prüfungen</t>
  </si>
  <si>
    <t>PRÜFERGEBNISSE</t>
  </si>
  <si>
    <t>Datum</t>
  </si>
  <si>
    <t>Uhrzeit</t>
  </si>
  <si>
    <t>Bemerkung</t>
  </si>
  <si>
    <t>Ja</t>
  </si>
  <si>
    <t>Response Time – TerminPilot</t>
  </si>
  <si>
    <t>Anzahl der Messungen</t>
  </si>
  <si>
    <t>Durchschnittliche Response Time</t>
  </si>
  <si>
    <t>Maximale Response Time</t>
  </si>
  <si>
    <t>MESSERGEBNISSE</t>
  </si>
  <si>
    <t>Aktion</t>
  </si>
  <si>
    <t>Durchlauf</t>
  </si>
  <si>
    <t>Response Time in Millisekunden</t>
  </si>
  <si>
    <t>Response Time in Sekunden</t>
  </si>
  <si>
    <t>Zielwert eingehalten</t>
  </si>
  <si>
    <t>Verfügbarkeiten abrufen</t>
  </si>
  <si>
    <t>Response Time</t>
  </si>
  <si>
    <t>KPI-Auswertung – TerminPilot</t>
  </si>
  <si>
    <t>KPI-STATUSÜBERSICHT</t>
  </si>
  <si>
    <t>KPI</t>
  </si>
  <si>
    <t>Ist-Wert</t>
  </si>
  <si>
    <t>Nutzerfreundlichkeit</t>
  </si>
  <si>
    <t>Fehlerrate funktionaler Tests</t>
  </si>
  <si>
    <t>Systemverfügbarkeit im lokalen Testbetrieb</t>
  </si>
  <si>
    <t>Apple-Kalender kann angebunden werden</t>
  </si>
  <si>
    <t>Apple-Kalender wurde erfolgreich angebunden</t>
  </si>
  <si>
    <t>Google-Kalender kann angebunden werden</t>
  </si>
  <si>
    <t>Google-Kalender wurde erfolgreich angebunden</t>
  </si>
  <si>
    <t>Verfügbare Apple-Kalender werden geladen</t>
  </si>
  <si>
    <t>Alle verfügbaren Apple-Kalender wurden angezeigt</t>
  </si>
  <si>
    <t>Ein Google-Kalender kann ausgewählt werden</t>
  </si>
  <si>
    <t>Der ausgewählte Google-Kalender wurde übernommen</t>
  </si>
  <si>
    <t>Die Kalendersynchronisation kann ausgelöst werden</t>
  </si>
  <si>
    <t>Die Synchronisation wurde erfolgreich abgeschlossen</t>
  </si>
  <si>
    <t>Belegte Zeiträume werden aus Google eingelesen</t>
  </si>
  <si>
    <t>Die belegten Zeiträume wurden korrekt eingelesen</t>
  </si>
  <si>
    <t>Mehrere angebundene Kalender werden gemeinsam verarbeitet</t>
  </si>
  <si>
    <t>Belegte Zeiten aller ausgewählten Kalender wurden berücksichtigt</t>
  </si>
  <si>
    <t>Synchronisierte Belegungen beeinflussen die Verfügbarkeit</t>
  </si>
  <si>
    <t>Belegte Zeiten wurden in der Terminfindung ausgeschlossen</t>
  </si>
  <si>
    <t>Ein neu erstellter Termin wird mit dem Kalender synchronisiert</t>
  </si>
  <si>
    <t>Der neue Termin wurde im angebundenen Apple-Kalender angelegt</t>
  </si>
  <si>
    <t>Neue Kalenderdaten werden bei erneuter Synchronisation eingelesen</t>
  </si>
  <si>
    <t>Die aktualisierten Belegungen wurden korrekt übernommen</t>
  </si>
  <si>
    <t>Apple-Kalenderintegration</t>
  </si>
  <si>
    <t>Ein Apple-Kalender kann sicher angebunden werden</t>
  </si>
  <si>
    <t>Die Apple-Kalenderverbindung wurde erfolgreich hergestellt</t>
  </si>
  <si>
    <t>Google-Kalenderintegration</t>
  </si>
  <si>
    <t>Ein Google-Kalender kann sicher angebunden werden</t>
  </si>
  <si>
    <t>Die Google-Kalenderverbindung wurde erfolgreich hergestellt</t>
  </si>
  <si>
    <t>Kalenderauswahl</t>
  </si>
  <si>
    <t>Ein verfügbarer Kalender kann ausgewählt werden</t>
  </si>
  <si>
    <t>Der ausgewählte Kalender wurde für die Verarbeitung übernommen</t>
  </si>
  <si>
    <t>Ausgewählte Kalender können synchronisiert werden</t>
  </si>
  <si>
    <t>Die Kalenderdaten wurden erfolgreich synchronisiert</t>
  </si>
  <si>
    <t>Verfügbarkeiten werden ohne private Termindetails angezeigt</t>
  </si>
  <si>
    <t>Nur anonymisierte Frei- und Belegtzeiten wurden dargestellt</t>
  </si>
  <si>
    <t>Verfügbarkeiten</t>
  </si>
  <si>
    <t>Gemeinsame freie Zeitfenster werden ermittelt</t>
  </si>
  <si>
    <t>Übereinstimmende freie Zeitfenster wurden korrekt angezeigt</t>
  </si>
  <si>
    <t>Eine zentrale Terminfindung kann durchgeführt werden</t>
  </si>
  <si>
    <t>Passende Terminvorschläge wurden erfolgreich ermittelt</t>
  </si>
  <si>
    <t>Filterung</t>
  </si>
  <si>
    <t>Die Terminfindung kann nach Zeitraum gefiltert werden</t>
  </si>
  <si>
    <t>Die Vorschläge wurden entsprechend dem Filter eingegrenzt</t>
  </si>
  <si>
    <t>Terminanfrage</t>
  </si>
  <si>
    <t>Eine Terminanfrage kann erstellt und versendet werden</t>
  </si>
  <si>
    <t>Die Terminanfrage wurde an die Teilnehmer übermittelt</t>
  </si>
  <si>
    <t>Teilnehmer-Workflow</t>
  </si>
  <si>
    <t>Teilnehmer können eine Einladung annehmen oder ablehnen</t>
  </si>
  <si>
    <t>Annahme und Ablehnung wurden korrekt verarbeitet</t>
  </si>
  <si>
    <t>TerminPilot erreichbar</t>
  </si>
  <si>
    <t>Lokaler Erreichbarkeitstest um 08:00 Uhr erfolgreich</t>
  </si>
  <si>
    <t>Lokaler Erreichbarkeitstest um 09:00 Uhr erfolgreich</t>
  </si>
  <si>
    <t>Lokaler Erreichbarkeitstest um 10:00 Uhr erfolgreich</t>
  </si>
  <si>
    <t>Lokaler Erreichbarkeitstest um 11:00 Uhr erfolgreich</t>
  </si>
  <si>
    <t>Lokaler Erreichbarkeitstest um 12:00 Uhr erfolgreich</t>
  </si>
  <si>
    <t>Lokaler Erreichbarkeitstest um 13:00 Uhr erfolgreich</t>
  </si>
  <si>
    <t>Lokaler Erreichbarkeitstest um 14:00 Uhr erfolgreich</t>
  </si>
  <si>
    <t>Lokaler Erreichbarkeitstest um 15:00 Uhr erfolgreich</t>
  </si>
  <si>
    <t>Lokaler Erreichbarkeitstest um 16:00 Uhr erfolgreich</t>
  </si>
  <si>
    <t>Lokaler Erreichbarkeitstest um 17:00 Uhr erfolgreich</t>
  </si>
  <si>
    <t>Die Messung stellt die Erreichbarkeit während des definierten lokalen Testzeitraums dar und keine Produktiv-SLA.</t>
  </si>
  <si>
    <t>Kalenderverbindungen laden</t>
  </si>
  <si>
    <t>Kalendersynchronisation durchführen</t>
  </si>
  <si>
    <t>Terminfindung durchführen</t>
  </si>
  <si>
    <t>Terminanfrage erstellen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</si>
</sst>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 &quot;Sekunden&quot;"/>
    <numFmt numFmtId="165" formatCode="#,##0\ &quot;ms&quot;"/>
    <numFmt numFmtId="166" formatCode="0.00\ &quot;s&quot;"/>
  </numFmts>
  <fonts count="1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"/>
      <family val="2"/>
    </font>
    <font>
      <b/>
      <sz val="11"/>
      <color rgb="FFFFFFFF"/>
      <name val="Aptos"/>
      <family val="2"/>
    </font>
    <font>
      <b/>
      <sz val="10"/>
      <color rgb="FFFFFFFF"/>
      <name val="Aptos"/>
      <family val="2"/>
    </font>
    <font>
      <sz val="10"/>
      <color theme="1"/>
      <name val="Aptos"/>
      <family val="2"/>
    </font>
    <font>
      <b/>
      <sz val="10"/>
      <color rgb="FF17324D"/>
      <name val="Aptos"/>
      <family val="2"/>
    </font>
    <font>
      <sz val="10"/>
      <color rgb="FF17324D"/>
      <name val="Aptos"/>
      <family val="2"/>
    </font>
    <font>
      <sz val="10"/>
      <color rgb="FF003B6F"/>
      <name val="Aptos"/>
      <family val="2"/>
    </font>
    <font>
      <b/>
      <sz val="10"/>
      <color rgb="FF003B6F"/>
      <name val="Aptos"/>
      <family val="2"/>
    </font>
    <font>
      <sz val="11"/>
      <color rgb="FF17324D"/>
      <name val="Aptos Narrow"/>
      <family val="2"/>
      <scheme val="minor"/>
    </font>
    <font>
      <i/>
      <sz val="10"/>
      <color rgb="FF003B6F"/>
      <name val="Aptos"/>
      <family val="2"/>
    </font>
    <font>
      <i/>
      <sz val="11"/>
      <color rgb="FF17324D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3B6F"/>
        <bgColor indexed="64"/>
      </patternFill>
    </fill>
    <fill>
      <patternFill patternType="solid">
        <fgColor rgb="FF0069A6"/>
        <bgColor indexed="64"/>
      </patternFill>
    </fill>
    <fill>
      <patternFill patternType="solid">
        <fgColor rgb="FFEEF5FA"/>
        <bgColor indexed="64"/>
      </patternFill>
    </fill>
    <fill>
      <patternFill patternType="solid">
        <fgColor rgb="FFDCEAF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 style="thin">
        <color rgb="FF7F8FA6"/>
      </right>
      <top/>
      <bottom style="thick">
        <color rgb="FF17365D"/>
      </bottom>
      <diagonal/>
    </border>
    <border>
      <left style="thin">
        <color rgb="FF7F8FA6"/>
      </left>
      <right style="thin">
        <color rgb="FF7F8FA6"/>
      </right>
      <top/>
      <bottom style="thick">
        <color rgb="FF17365D"/>
      </bottom>
      <diagonal/>
    </border>
    <border>
      <left style="thin">
        <color rgb="FF7F8FA6"/>
      </left>
      <right/>
      <top/>
      <bottom style="thick">
        <color rgb="FF17365D"/>
      </bottom>
      <diagonal/>
    </border>
    <border>
      <left/>
      <right style="thin">
        <color rgb="FF7F8FA6"/>
      </right>
      <top style="thick">
        <color rgb="FF17365D"/>
      </top>
      <bottom style="thick">
        <color rgb="FF17365D"/>
      </bottom>
      <diagonal/>
    </border>
    <border>
      <left style="thin">
        <color rgb="FF7F8FA6"/>
      </left>
      <right style="thin">
        <color rgb="FF7F8FA6"/>
      </right>
      <top style="thick">
        <color rgb="FF17365D"/>
      </top>
      <bottom style="thick">
        <color rgb="FF17365D"/>
      </bottom>
      <diagonal/>
    </border>
    <border>
      <left style="thin">
        <color rgb="FF7F8FA6"/>
      </left>
      <right/>
      <top style="thick">
        <color rgb="FF17365D"/>
      </top>
      <bottom style="thick">
        <color rgb="FF17365D"/>
      </bottom>
      <diagonal/>
    </border>
    <border>
      <left/>
      <right style="thin">
        <color rgb="FF7F8FA6"/>
      </right>
      <top style="thick">
        <color rgb="FF17365D"/>
      </top>
      <bottom/>
      <diagonal/>
    </border>
    <border>
      <left style="thin">
        <color rgb="FF7F8FA6"/>
      </left>
      <right style="thin">
        <color rgb="FF7F8FA6"/>
      </right>
      <top style="thick">
        <color rgb="FF17365D"/>
      </top>
      <bottom/>
      <diagonal/>
    </border>
    <border>
      <left style="thin">
        <color rgb="FF7F8FA6"/>
      </left>
      <right/>
      <top style="thick">
        <color rgb="FF17365D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5" fillId="0" borderId="0" xfId="0" applyFont="1"/>
    <xf numFmtId="0" fontId="7" fillId="2" borderId="7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2" fillId="3" borderId="0" xfId="0" applyFont="1" applyFill="1"/>
    <xf numFmtId="0" fontId="4" fillId="4" borderId="0" xfId="0" applyFont="1" applyFill="1"/>
    <xf numFmtId="0" fontId="7" fillId="5" borderId="5" xfId="0" applyFont="1" applyFill="1" applyBorder="1" applyAlignment="1">
      <alignment wrapText="1"/>
    </xf>
    <xf numFmtId="9" fontId="7" fillId="5" borderId="6" xfId="0" applyNumberFormat="1" applyFont="1" applyFill="1" applyBorder="1" applyAlignment="1">
      <alignment horizontal="center"/>
    </xf>
    <xf numFmtId="0" fontId="7" fillId="5" borderId="8" xfId="0" applyFont="1" applyFill="1" applyBorder="1" applyAlignment="1">
      <alignment wrapText="1"/>
    </xf>
    <xf numFmtId="164" fontId="7" fillId="5" borderId="9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7" fillId="2" borderId="0" xfId="0" applyFont="1" applyFill="1"/>
    <xf numFmtId="0" fontId="10" fillId="2" borderId="0" xfId="0" applyFont="1" applyFill="1"/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2" fontId="7" fillId="2" borderId="6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2" fontId="7" fillId="2" borderId="9" xfId="0" applyNumberFormat="1" applyFont="1" applyFill="1" applyBorder="1" applyAlignment="1">
      <alignment horizontal="center"/>
    </xf>
    <xf numFmtId="0" fontId="2" fillId="3" borderId="0" xfId="0" applyFont="1" applyFill="1" applyAlignment="1">
      <alignment wrapText="1"/>
    </xf>
    <xf numFmtId="0" fontId="4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1" fillId="4" borderId="0" xfId="0" applyFont="1" applyFill="1"/>
    <xf numFmtId="0" fontId="6" fillId="5" borderId="11" xfId="0" applyFont="1" applyFill="1" applyBorder="1"/>
    <xf numFmtId="0" fontId="6" fillId="5" borderId="12" xfId="0" applyFont="1" applyFill="1" applyBorder="1"/>
    <xf numFmtId="0" fontId="6" fillId="5" borderId="13" xfId="0" applyFont="1" applyFill="1" applyBorder="1"/>
    <xf numFmtId="0" fontId="6" fillId="5" borderId="0" xfId="0" applyFont="1" applyFill="1"/>
    <xf numFmtId="0" fontId="6" fillId="5" borderId="14" xfId="0" applyFont="1" applyFill="1" applyBorder="1"/>
    <xf numFmtId="0" fontId="6" fillId="5" borderId="15" xfId="0" applyFont="1" applyFill="1" applyBorder="1"/>
    <xf numFmtId="0" fontId="9" fillId="6" borderId="18" xfId="0" applyFont="1" applyFill="1" applyBorder="1" applyAlignment="1">
      <alignment horizontal="right"/>
    </xf>
    <xf numFmtId="3" fontId="9" fillId="6" borderId="16" xfId="0" applyNumberFormat="1" applyFont="1" applyFill="1" applyBorder="1" applyAlignment="1">
      <alignment horizontal="right"/>
    </xf>
    <xf numFmtId="2" fontId="9" fillId="6" borderId="17" xfId="0" applyNumberFormat="1" applyFont="1" applyFill="1" applyBorder="1" applyAlignment="1">
      <alignment horizontal="right"/>
    </xf>
    <xf numFmtId="3" fontId="9" fillId="6" borderId="17" xfId="0" applyNumberFormat="1" applyFont="1" applyFill="1" applyBorder="1" applyAlignment="1">
      <alignment horizontal="right"/>
    </xf>
    <xf numFmtId="9" fontId="9" fillId="6" borderId="17" xfId="0" applyNumberFormat="1" applyFont="1" applyFill="1" applyBorder="1" applyAlignment="1">
      <alignment horizontal="right"/>
    </xf>
    <xf numFmtId="0" fontId="8" fillId="6" borderId="11" xfId="0" applyFont="1" applyFill="1" applyBorder="1" applyAlignment="1">
      <alignment wrapText="1"/>
    </xf>
    <xf numFmtId="0" fontId="8" fillId="6" borderId="12" xfId="0" applyFont="1" applyFill="1" applyBorder="1" applyAlignment="1">
      <alignment wrapText="1"/>
    </xf>
    <xf numFmtId="0" fontId="8" fillId="6" borderId="19" xfId="0" applyFont="1" applyFill="1" applyBorder="1" applyAlignment="1">
      <alignment wrapText="1"/>
    </xf>
    <xf numFmtId="0" fontId="8" fillId="6" borderId="13" xfId="0" applyFont="1" applyFill="1" applyBorder="1" applyAlignment="1">
      <alignment wrapText="1"/>
    </xf>
    <xf numFmtId="0" fontId="8" fillId="6" borderId="0" xfId="0" applyFont="1" applyFill="1" applyAlignment="1">
      <alignment wrapText="1"/>
    </xf>
    <xf numFmtId="0" fontId="8" fillId="6" borderId="20" xfId="0" applyFont="1" applyFill="1" applyBorder="1" applyAlignment="1">
      <alignment wrapText="1"/>
    </xf>
    <xf numFmtId="0" fontId="11" fillId="6" borderId="14" xfId="0" applyFont="1" applyFill="1" applyBorder="1" applyAlignment="1">
      <alignment wrapText="1"/>
    </xf>
    <xf numFmtId="0" fontId="11" fillId="6" borderId="15" xfId="0" applyFont="1" applyFill="1" applyBorder="1" applyAlignment="1">
      <alignment wrapText="1"/>
    </xf>
    <xf numFmtId="0" fontId="11" fillId="6" borderId="21" xfId="0" applyFont="1" applyFill="1" applyBorder="1" applyAlignment="1">
      <alignment wrapText="1"/>
    </xf>
    <xf numFmtId="0" fontId="9" fillId="5" borderId="0" xfId="0" applyFont="1" applyFill="1"/>
    <xf numFmtId="0" fontId="8" fillId="5" borderId="0" xfId="0" applyFont="1" applyFill="1"/>
    <xf numFmtId="2" fontId="9" fillId="6" borderId="0" xfId="0" applyNumberFormat="1" applyFont="1" applyFill="1"/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7" fillId="2" borderId="5" xfId="0" applyFont="1" applyFill="1" applyBorder="1"/>
    <xf numFmtId="0" fontId="7" fillId="2" borderId="6" xfId="0" applyFont="1" applyFill="1" applyBorder="1" applyAlignment="1">
      <alignment wrapText="1"/>
    </xf>
    <xf numFmtId="0" fontId="6" fillId="5" borderId="1" xfId="0" applyFont="1" applyFill="1" applyBorder="1"/>
    <xf numFmtId="0" fontId="9" fillId="6" borderId="1" xfId="0" applyFont="1" applyFill="1" applyBorder="1" applyAlignment="1">
      <alignment horizontal="right"/>
    </xf>
    <xf numFmtId="3" fontId="9" fillId="6" borderId="0" xfId="0" applyNumberFormat="1" applyFont="1" applyFill="1" applyAlignment="1">
      <alignment horizontal="right"/>
    </xf>
    <xf numFmtId="9" fontId="9" fillId="6" borderId="0" xfId="0" applyNumberFormat="1" applyFont="1" applyFill="1" applyAlignment="1">
      <alignment horizontal="right"/>
    </xf>
    <xf numFmtId="0" fontId="9" fillId="6" borderId="0" xfId="0" applyFont="1" applyFill="1" applyAlignment="1">
      <alignment wrapText="1"/>
    </xf>
    <xf numFmtId="0" fontId="8" fillId="6" borderId="0" xfId="0" applyFont="1" applyFill="1" applyAlignment="1">
      <alignment wrapText="1"/>
    </xf>
    <xf numFmtId="0" fontId="7" fillId="2" borderId="8" xfId="0" applyFont="1" applyFill="1" applyBorder="1"/>
    <xf numFmtId="0" fontId="7" fillId="2" borderId="9" xfId="0" applyFont="1" applyFill="1" applyBorder="1" applyAlignment="1">
      <alignment wrapText="1"/>
    </xf>
    <xf numFmtId="14" fontId="7" fillId="2" borderId="5" xfId="0" applyNumberFormat="1" applyFont="1" applyFill="1" applyBorder="1" applyAlignment="1">
      <alignment horizontal="center"/>
    </xf>
    <xf numFmtId="20" fontId="7" fillId="2" borderId="6" xfId="0" applyNumberFormat="1" applyFont="1" applyFill="1" applyBorder="1" applyAlignment="1">
      <alignment horizontal="center"/>
    </xf>
    <xf numFmtId="0" fontId="7" fillId="2" borderId="7" xfId="0" applyFont="1" applyFill="1" applyBorder="1" applyAlignment="1">
      <alignment wrapText="1"/>
    </xf>
    <xf numFmtId="14" fontId="7" fillId="2" borderId="8" xfId="0" applyNumberFormat="1" applyFont="1" applyFill="1" applyBorder="1" applyAlignment="1">
      <alignment horizontal="center"/>
    </xf>
    <xf numFmtId="20" fontId="7" fillId="2" borderId="9" xfId="0" applyNumberFormat="1" applyFont="1" applyFill="1" applyBorder="1" applyAlignment="1">
      <alignment horizontal="center"/>
    </xf>
    <xf numFmtId="0" fontId="7" fillId="2" borderId="10" xfId="0" applyFont="1" applyFill="1" applyBorder="1" applyAlignment="1">
      <alignment wrapText="1"/>
    </xf>
    <xf numFmtId="0" fontId="12" fillId="5" borderId="0" xfId="0" applyFont="1" applyFill="1" applyAlignment="1">
      <alignment vertical="center" wrapText="1"/>
    </xf>
    <xf numFmtId="165" fontId="7" fillId="2" borderId="6" xfId="0" applyNumberFormat="1" applyFont="1" applyFill="1" applyBorder="1" applyAlignment="1">
      <alignment horizontal="center"/>
    </xf>
    <xf numFmtId="166" fontId="7" fillId="2" borderId="6" xfId="0" applyNumberFormat="1" applyFont="1" applyFill="1" applyBorder="1" applyAlignment="1">
      <alignment horizontal="center"/>
    </xf>
    <xf numFmtId="165" fontId="7" fillId="2" borderId="9" xfId="0" applyNumberFormat="1" applyFont="1" applyFill="1" applyBorder="1" applyAlignment="1">
      <alignment horizontal="center"/>
    </xf>
    <xf numFmtId="166" fontId="7" fillId="2" borderId="9" xfId="0" applyNumberFormat="1" applyFont="1" applyFill="1" applyBorder="1" applyAlignment="1">
      <alignment horizontal="center"/>
    </xf>
    <xf numFmtId="164" fontId="9" fillId="6" borderId="0" xfId="0" applyNumberFormat="1" applyFont="1" applyFill="1" applyAlignment="1">
      <alignment horizontal="right"/>
    </xf>
  </cellXfs>
  <cellStyles count="1">
    <cellStyle name="Standard" xfId="0" builtinId="0"/>
  </cellStyles>
  <dxfs count="82"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</dxf>
    <dxf>
      <font>
        <sz val="10"/>
        <color rgb="FF17324D"/>
        <name val="Aptos"/>
      </font>
      <numFmt numFmtId="0" formatCode="General"/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7F8FA6"/>
        </left>
        <right/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numFmt numFmtId="166" formatCode="0.00\ &quot;s&quot;"/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numFmt numFmtId="165" formatCode="#,##0\ &quot;ms&quot;"/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  <border diagonalUp="0" diagonalDown="0">
        <left/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b/>
        <sz val="10"/>
        <color rgb="FFFFFFFF"/>
        <name val="Aptos"/>
      </font>
      <fill>
        <patternFill patternType="solid">
          <fgColor indexed="64"/>
          <bgColor rgb="FF003B6F"/>
        </patternFill>
      </fill>
      <alignment horizontal="center" vertical="center" wrapText="1"/>
      <border diagonalUp="0" diagonalDown="0">
        <left style="thin">
          <color rgb="FF7F8FA6"/>
        </left>
        <right style="thin">
          <color rgb="FF7F8FA6"/>
        </right>
        <top/>
        <bottom/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  <alignment wrapText="1"/>
      <border diagonalUp="0" diagonalDown="0">
        <left style="thin">
          <color rgb="FF7F8FA6"/>
        </left>
        <right/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numFmt numFmtId="25" formatCode="hh:mm"/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numFmt numFmtId="19" formatCode="dd/mm/yyyy"/>
      <fill>
        <patternFill patternType="solid">
          <fgColor indexed="64"/>
          <bgColor rgb="FFFFFFFF"/>
        </patternFill>
      </fill>
      <alignment horizontal="center"/>
      <border diagonalUp="0" diagonalDown="0">
        <left/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b/>
        <sz val="10"/>
        <color rgb="FFFFFFFF"/>
        <name val="Aptos"/>
      </font>
      <fill>
        <patternFill patternType="solid">
          <fgColor indexed="64"/>
          <bgColor rgb="FF003B6F"/>
        </patternFill>
      </fill>
      <alignment horizontal="center" vertical="center" wrapText="1"/>
      <border diagonalUp="0" diagonalDown="0">
        <left style="thin">
          <color rgb="FF7F8FA6"/>
        </left>
        <right style="thin">
          <color rgb="FF7F8FA6"/>
        </right>
        <top/>
        <bottom/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7F8FA6"/>
        </left>
        <right/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  <alignment wrapText="1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  <alignment wrapText="1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  <border diagonalUp="0" diagonalDown="0">
        <left/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b/>
        <sz val="10"/>
        <color rgb="FFFFFFFF"/>
        <name val="Aptos"/>
      </font>
      <fill>
        <patternFill patternType="solid">
          <fgColor indexed="64"/>
          <bgColor rgb="FF003B6F"/>
        </patternFill>
      </fill>
      <alignment horizontal="center" vertical="center" wrapText="1"/>
      <border diagonalUp="0" diagonalDown="0">
        <left style="thin">
          <color rgb="FF7F8FA6"/>
        </left>
        <right style="thin">
          <color rgb="FF7F8FA6"/>
        </right>
        <top/>
        <bottom/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7F8FA6"/>
        </left>
        <right/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  <alignment wrapText="1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  <alignment wrapText="1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  <border diagonalUp="0" diagonalDown="0">
        <left/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b/>
        <sz val="10"/>
        <color rgb="FFFFFFFF"/>
        <name val="Aptos"/>
      </font>
      <fill>
        <patternFill patternType="solid">
          <fgColor indexed="64"/>
          <bgColor rgb="FF003B6F"/>
        </patternFill>
      </fill>
      <alignment horizontal="center" vertical="center" wrapText="1"/>
      <border diagonalUp="0" diagonalDown="0">
        <left style="thin">
          <color rgb="FF7F8FA6"/>
        </left>
        <right style="thin">
          <color rgb="FF7F8FA6"/>
        </right>
        <top/>
        <bottom/>
        <vertical style="thin">
          <color rgb="FF7F8FA6"/>
        </vertical>
        <horizontal style="thick">
          <color rgb="FF17365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324D"/>
        <name val="Aptos"/>
        <family val="2"/>
        <scheme val="none"/>
      </font>
      <fill>
        <patternFill patternType="solid">
          <fgColor indexed="64"/>
          <bgColor rgb="FFFFFFFF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324D"/>
        <name val="Apto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7F8FA6"/>
        </left>
        <right/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324D"/>
        <name val="Aptos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324D"/>
        <name val="Aptos"/>
        <family val="2"/>
        <scheme val="none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324D"/>
        <name val="Aptos"/>
        <family val="2"/>
        <scheme val="none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324D"/>
        <name val="Aptos"/>
        <family val="2"/>
        <scheme val="none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324D"/>
        <name val="Aptos"/>
        <family val="2"/>
        <scheme val="none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324D"/>
        <name val="Aptos"/>
        <family val="2"/>
        <scheme val="none"/>
      </font>
      <fill>
        <patternFill patternType="solid">
          <fgColor indexed="64"/>
          <bgColor rgb="FFFFFFFF"/>
        </patternFill>
      </fill>
      <alignment horizontal="center"/>
      <border diagonalUp="0" diagonalDown="0">
        <left/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003B6F"/>
        </patternFill>
      </fill>
      <alignment horizontal="center" vertical="center" wrapText="1"/>
      <border diagonalUp="0" diagonalDown="0">
        <left style="thin">
          <color rgb="FF7F8FA6"/>
        </left>
        <right style="thin">
          <color rgb="FF7F8FA6"/>
        </right>
        <top/>
        <bottom/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fill>
        <patternFill patternType="solid">
          <fgColor indexed="64"/>
          <bgColor rgb="FFFFFFFF"/>
        </patternFill>
      </fill>
    </dxf>
    <dxf>
      <font>
        <b/>
        <sz val="10"/>
        <color rgb="FF17324D"/>
        <name val="Aptos"/>
      </font>
      <numFmt numFmtId="0" formatCode="General"/>
      <fill>
        <patternFill patternType="solid">
          <fgColor indexed="64"/>
          <bgColor rgb="FFDCEAF5"/>
        </patternFill>
      </fill>
      <alignment horizontal="center"/>
      <border diagonalUp="0" diagonalDown="0">
        <left style="thin">
          <color rgb="FF7F8FA6"/>
        </left>
        <right/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numFmt numFmtId="13" formatCode="0%"/>
      <fill>
        <patternFill patternType="solid">
          <fgColor indexed="64"/>
          <bgColor rgb="FFEEF5FA"/>
        </patternFill>
      </fill>
      <alignment horizontal="center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numFmt numFmtId="13" formatCode="0%"/>
      <fill>
        <patternFill patternType="solid">
          <fgColor indexed="64"/>
          <bgColor rgb="FFEEF5FA"/>
        </patternFill>
      </fill>
      <alignment horizontal="center"/>
      <border diagonalUp="0" diagonalDown="0">
        <left style="thin">
          <color rgb="FF7F8FA6"/>
        </left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sz val="10"/>
        <color rgb="FF17324D"/>
        <name val="Aptos"/>
      </font>
      <fill>
        <patternFill patternType="solid">
          <fgColor indexed="64"/>
          <bgColor rgb="FFEEF5FA"/>
        </patternFill>
      </fill>
      <alignment wrapText="1"/>
      <border diagonalUp="0" diagonalDown="0">
        <left/>
        <right style="thin">
          <color rgb="FF7F8FA6"/>
        </right>
        <top style="thick">
          <color rgb="FF17365D"/>
        </top>
        <bottom style="thick">
          <color rgb="FF17365D"/>
        </bottom>
        <vertical style="thin">
          <color rgb="FF7F8FA6"/>
        </vertical>
        <horizontal style="thick">
          <color rgb="FF17365D"/>
        </horizontal>
      </border>
    </dxf>
    <dxf>
      <font>
        <b/>
        <sz val="10"/>
        <color rgb="FFFFFFFF"/>
        <name val="Aptos"/>
      </font>
      <fill>
        <patternFill patternType="solid">
          <fgColor indexed="64"/>
          <bgColor rgb="FF003B6F"/>
        </patternFill>
      </fill>
      <alignment horizontal="center" vertical="center"/>
      <border diagonalUp="0" diagonalDown="0">
        <left style="thin">
          <color rgb="FF7F8FA6"/>
        </left>
        <right style="thin">
          <color rgb="FF7F8FA6"/>
        </right>
        <top/>
        <bottom/>
        <vertical style="thin">
          <color rgb="FF7F8FA6"/>
        </vertical>
        <horizontal style="thick">
          <color rgb="FF17365D"/>
        </horizontal>
      </border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border>
        <top style="thick">
          <color rgb="FF17365D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border>
        <bottom style="thick">
          <color rgb="FF17365D"/>
        </bottom>
      </border>
    </dxf>
    <dxf>
      <border>
        <top style="thick">
          <color rgb="FF17365D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border>
        <bottom style="thick">
          <color rgb="FF17365D"/>
        </bottom>
      </border>
    </dxf>
    <dxf>
      <border>
        <top style="thick">
          <color rgb="FF17365D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border>
        <bottom style="thick">
          <color rgb="FF17365D"/>
        </bottom>
      </border>
    </dxf>
    <dxf>
      <border>
        <top style="thick">
          <color rgb="FF17365D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border>
        <bottom style="thick">
          <color rgb="FF17365D"/>
        </bottom>
      </border>
    </dxf>
    <dxf>
      <border>
        <top style="thick">
          <color rgb="FF17365D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border>
        <bottom style="thick">
          <color rgb="FF17365D"/>
        </bottom>
      </border>
    </dxf>
    <dxf>
      <border>
        <top style="thick">
          <color rgb="FF17365D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border>
        <bottom style="thick">
          <color rgb="FF17365D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A700A7-4BD0-45A0-87FC-997DFD094EA1}" name="tblKPIUebersicht" displayName="tblKPIUebersicht" ref="A3:D8" totalsRowShown="0" headerRowDxfId="41" dataDxfId="36" headerRowBorderDxfId="78" tableBorderDxfId="77" totalsRowBorderDxfId="76">
  <autoFilter ref="A3:D8" xr:uid="{20A700A7-4BD0-45A0-87FC-997DFD094EA1}"/>
  <tableColumns count="4">
    <tableColumn id="1" xr3:uid="{FD55C80E-27DF-4150-8F87-A847FA14778F}" name="KPI" dataDxfId="40"/>
    <tableColumn id="2" xr3:uid="{24C5DF41-B7D9-4C34-8EA0-A0C380E6D7E4}" name="Zielwert" dataDxfId="39">
      <calculatedColumnFormula array="1">_xlfn.SWITCH(tblKPIUebersicht[[#This Row],[KPI]],"Nutzerfreundlichkeit",'Usability-Test'!$D$7,"Kalendersynchronisation",Kalendersynchronisation!$D$7,"Fehlerrate funktionaler Tests",'Funktionale Tests'!$D$7,"Systemverfügbarkeit im lokalen Testbetrieb",Verfügbarkeit!$D$7,"Response Time",'Response Time'!$D$6)</calculatedColumnFormula>
    </tableColumn>
    <tableColumn id="3" xr3:uid="{E1958CAD-FC5E-4DAF-BA3B-AA600346479F}" name="Ist-Wert" dataDxfId="38">
      <calculatedColumnFormula array="1">_xlfn.SWITCH(tblKPIUebersicht[[#This Row],[KPI]],"Nutzerfreundlichkeit",'Usability-Test'!$D$6,"Kalendersynchronisation",Kalendersynchronisation!$D$6,"Fehlerrate funktionaler Tests",'Funktionale Tests'!$D$6,"Systemverfügbarkeit im lokalen Testbetrieb",Verfügbarkeit!$D$6,"Response Time",'Response Time'!$D$5)</calculatedColumnFormula>
    </tableColumn>
    <tableColumn id="4" xr3:uid="{9F8377CB-9D58-4FC8-B01C-5E5D0854B7CD}" name="Status" dataDxfId="37">
      <calculatedColumnFormula>IF(OR(tblKPIUebersicht[[#This Row],[KPI]]="Fehlerrate funktionaler Tests",tblKPIUebersicht[[#This Row],[KPI]]="Response Time"),IF(tblKPIUebersicht[[#This Row],[Ist-Wert]]&lt;=tblKPIUebersicht[[#This Row],[Zielwert]],"Erfüllt","Nicht erfüllt"),IF(tblKPIUebersicht[[#This Row],[Ist-Wert]]&gt;=tblKPIUebersicht[[#This Row],[Zielwert]],"Erfüllt","Nicht erfüllt"))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FB7965-953E-4E03-96B2-24190665DC9C}" name="tblUsabilityTest" displayName="tblUsabilityTest" ref="A11:G21" totalsRowShown="0" headerRowDxfId="35" dataDxfId="27" headerRowBorderDxfId="75" tableBorderDxfId="74" totalsRowBorderDxfId="73">
  <autoFilter ref="A11:G21" xr:uid="{B2FB7965-953E-4E03-96B2-24190665DC9C}"/>
  <tableColumns count="7">
    <tableColumn id="1" xr3:uid="{4635C471-F886-4783-BE19-0503DA41AA80}" name="Die Anwendung ist intuitiv bedienbar." dataDxfId="34"/>
    <tableColumn id="2" xr3:uid="{A66B46D4-FD36-4BDD-BB6C-0AA4CB48AACD}" name="Die Terminfindung ist verständlich." dataDxfId="33"/>
    <tableColumn id="3" xr3:uid="{B302C60B-66EA-48C9-BC51-CCE0C476D0A9}" name="Die Darstellung der Informationen ist übersichtlich." dataDxfId="32"/>
    <tableColumn id="4" xr3:uid="{D5233A9B-82D4-46BF-BE4F-ACE8223367B0}" name="Die Kalenderintegration ist nachvollziehbar." dataDxfId="31"/>
    <tableColumn id="5" xr3:uid="{D2E9DEF9-39FF-489D-AD71-9633595327AA}" name="Ich würde TerminPilot erneut verwenden." dataDxfId="30"/>
    <tableColumn id="6" xr3:uid="{90B28204-EEB6-4026-B40B-E79EBAF5E196}" name="Durchschnittliche Bewertung" dataDxfId="29">
      <calculatedColumnFormula>AVERAGE(tblUsabilityTest[[#This Row],[Die Anwendung ist intuitiv bedienbar.]]:tblUsabilityTest[[#This Row],[Ich würde TerminPilot erneut verwenden.]])</calculatedColumnFormula>
    </tableColumn>
    <tableColumn id="7" xr3:uid="{54762A9B-75C4-4683-BE28-5142E8CC99ED}" name="Positive Bewertung" dataDxfId="28">
      <calculatedColumnFormula>IF(tblUsabilityTest[[#This Row],[Durchschnittliche Bewertung]]&gt;=4,"Ja","Nein")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22E1FE-3C59-4848-846F-F153C27A4818}" name="tblKalendersynchronisation" displayName="tblKalendersynchronisation" ref="A11:E21" totalsRowShown="0" headerRowDxfId="26" dataDxfId="20" headerRowBorderDxfId="72" tableBorderDxfId="71" totalsRowBorderDxfId="70">
  <autoFilter ref="A11:E21" xr:uid="{2122E1FE-3C59-4848-846F-F153C27A4818}"/>
  <tableColumns count="5">
    <tableColumn id="1" xr3:uid="{D61B0A18-0D15-4BF3-928A-68AF5E36F638}" name="Testfall" dataDxfId="25"/>
    <tableColumn id="2" xr3:uid="{4DB137F7-2056-4012-981A-C3D626880BA9}" name="Kalenderanbieter" dataDxfId="24"/>
    <tableColumn id="3" xr3:uid="{AA2F493F-5765-4A31-986F-629EA77C748E}" name="Erwartetes Ergebnis" dataDxfId="23"/>
    <tableColumn id="4" xr3:uid="{F921D6D9-61C9-4B7B-A224-6BD0CB3085B2}" name="Tatsächliches Ergebnis" dataDxfId="22"/>
    <tableColumn id="5" xr3:uid="{E82B1521-BFDF-465C-B474-BDA10C8677B6}" name="Status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AC1CDB-67BA-462E-92E8-D4A9BCAC7EB2}" name="tblFunktionaleTests" displayName="tblFunktionaleTests" ref="A11:E21" totalsRowShown="0" headerRowDxfId="19" dataDxfId="13" headerRowBorderDxfId="69" tableBorderDxfId="68" totalsRowBorderDxfId="67">
  <autoFilter ref="A11:E21" xr:uid="{7BAC1CDB-67BA-462E-92E8-D4A9BCAC7EB2}"/>
  <tableColumns count="5">
    <tableColumn id="1" xr3:uid="{F216AEE8-F4B1-47AC-A7CC-91FFAD9324CD}" name="Testfall" dataDxfId="18"/>
    <tableColumn id="2" xr3:uid="{E39F0E6F-BAEA-4C53-9F47-574313A672B7}" name="Funktionsbereich" dataDxfId="17"/>
    <tableColumn id="3" xr3:uid="{E82CAE55-3C91-462A-A50F-437DA77BB963}" name="Erwartetes Ergebnis" dataDxfId="16"/>
    <tableColumn id="4" xr3:uid="{8DD478B3-AB65-49C2-8706-A8DFE6613B83}" name="Tatsächliches Ergebnis" dataDxfId="15"/>
    <tableColumn id="5" xr3:uid="{105099D4-DC90-41B1-B724-34FDC8A27A4E}" name="Status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943C04-C59B-4EAB-9A6D-08FEC35D80D5}" name="tblVerfuegbarkeit" displayName="tblVerfuegbarkeit" ref="A11:D21" totalsRowShown="0" headerRowDxfId="12" dataDxfId="7" headerRowBorderDxfId="66" tableBorderDxfId="65" totalsRowBorderDxfId="64">
  <autoFilter ref="A11:D21" xr:uid="{9A943C04-C59B-4EAB-9A6D-08FEC35D80D5}"/>
  <tableColumns count="4">
    <tableColumn id="1" xr3:uid="{433D6CDB-F567-4A50-8970-20DCF049405E}" name="Datum" dataDxfId="11"/>
    <tableColumn id="2" xr3:uid="{7CBD666C-2FB5-452E-B166-6488184F0788}" name="Uhrzeit" dataDxfId="10"/>
    <tableColumn id="3" xr3:uid="{A33A0E1E-0E62-40A3-A295-389FD70AD6C3}" name="TerminPilot erreichbar" dataDxfId="9"/>
    <tableColumn id="4" xr3:uid="{5506CB96-4B8E-4F6E-9130-2200148F8B93}" name="Bemerkung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5C496C-67DD-4BC3-A843-ABAB379F9F42}" name="tblResponseTime" displayName="tblResponseTime" ref="A10:E20" totalsRowShown="0" headerRowDxfId="6" dataDxfId="0" headerRowBorderDxfId="81" tableBorderDxfId="80" totalsRowBorderDxfId="79">
  <autoFilter ref="A10:E20" xr:uid="{A05C496C-67DD-4BC3-A843-ABAB379F9F42}"/>
  <tableColumns count="5">
    <tableColumn id="1" xr3:uid="{7D884F81-FCD4-40FB-AB1A-28CDD07C5EC1}" name="Aktion" dataDxfId="5"/>
    <tableColumn id="2" xr3:uid="{72BA8C1A-A270-42E4-A204-FCA24BFC5FE4}" name="Durchlauf" dataDxfId="4"/>
    <tableColumn id="3" xr3:uid="{B5133D39-5E9F-46FA-9BC9-54319199A70A}" name="Response Time in Millisekunden" dataDxfId="3"/>
    <tableColumn id="4" xr3:uid="{359709E2-FB0F-4CC0-86CB-B6481E41E076}" name="Response Time in Sekunden" dataDxfId="2">
      <calculatedColumnFormula>tblResponseTime[[#This Row],[Response Time in Millisekunden]]/1000</calculatedColumnFormula>
    </tableColumn>
    <tableColumn id="5" xr3:uid="{D5A8B4EB-5328-4397-8A67-64FE9234F256}" name="Zielwert eingehalten" dataDxfId="1">
      <calculatedColumnFormula>IF(tblResponseTime[[#This Row],[Response Time in Sekunden]]&lt;=2,"Ja","Nein")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E5F2-3D44-4B5D-B82C-8014EBE9FD65}">
  <dimension ref="A1:D4997"/>
  <sheetViews>
    <sheetView showGridLines="0" workbookViewId="0">
      <selection activeCell="E11" activeCellId="1" sqref="A10:XFD10 A11:XFD11"/>
    </sheetView>
  </sheetViews>
  <sheetFormatPr baseColWidth="10" defaultRowHeight="14.4" x14ac:dyDescent="0.3"/>
  <cols>
    <col min="1" max="1" width="44.6640625" customWidth="1"/>
    <col min="2" max="3" width="21" customWidth="1"/>
    <col min="4" max="4" width="20" customWidth="1"/>
    <col min="5" max="50" width="0" hidden="1" customWidth="1"/>
  </cols>
  <sheetData>
    <row r="1" spans="1:4" ht="32.1" customHeight="1" x14ac:dyDescent="0.45">
      <c r="A1" s="4" t="s">
        <v>97</v>
      </c>
      <c r="B1" s="4"/>
      <c r="C1" s="4"/>
      <c r="D1" s="4"/>
    </row>
    <row r="2" spans="1:4" x14ac:dyDescent="0.3">
      <c r="A2" s="5" t="s">
        <v>98</v>
      </c>
      <c r="B2" s="5"/>
      <c r="C2" s="5"/>
      <c r="D2" s="5"/>
    </row>
    <row r="3" spans="1:4" ht="27.9" customHeight="1" thickBot="1" x14ac:dyDescent="0.35">
      <c r="A3" s="11" t="s">
        <v>99</v>
      </c>
      <c r="B3" s="12" t="s">
        <v>6</v>
      </c>
      <c r="C3" s="12" t="s">
        <v>100</v>
      </c>
      <c r="D3" s="10" t="s">
        <v>42</v>
      </c>
    </row>
    <row r="4" spans="1:4" ht="15.6" thickTop="1" thickBot="1" x14ac:dyDescent="0.35">
      <c r="A4" s="6" t="s">
        <v>101</v>
      </c>
      <c r="B4" s="7" cm="1">
        <f t="array" ref="B4">_xlfn.SWITCH(tblKPIUebersicht[[#This Row],[KPI]],"Nutzerfreundlichkeit",'Usability-Test'!$D$7,"Kalendersynchronisation",Kalendersynchronisation!$D$7,"Fehlerrate funktionaler Tests",'Funktionale Tests'!$D$7,"Systemverfügbarkeit im lokalen Testbetrieb",Verfügbarkeit!$D$7,"Response Time",'Response Time'!$D$6)</f>
        <v>0.8</v>
      </c>
      <c r="C4" s="7" cm="1">
        <f t="array" ref="C4">_xlfn.SWITCH(tblKPIUebersicht[[#This Row],[KPI]],"Nutzerfreundlichkeit",'Usability-Test'!$D$6,"Kalendersynchronisation",Kalendersynchronisation!$D$6,"Fehlerrate funktionaler Tests",'Funktionale Tests'!$D$6,"Systemverfügbarkeit im lokalen Testbetrieb",Verfügbarkeit!$D$6,"Response Time",'Response Time'!$D$5)</f>
        <v>0.9</v>
      </c>
      <c r="D4" s="13" t="str">
        <f>IF(OR(tblKPIUebersicht[[#This Row],[KPI]]="Fehlerrate funktionaler Tests",tblKPIUebersicht[[#This Row],[KPI]]="Response Time"),IF(tblKPIUebersicht[[#This Row],[Ist-Wert]]&lt;=tblKPIUebersicht[[#This Row],[Zielwert]],"Erfüllt","Nicht erfüllt"),IF(tblKPIUebersicht[[#This Row],[Ist-Wert]]&gt;=tblKPIUebersicht[[#This Row],[Zielwert]],"Erfüllt","Nicht erfüllt"))</f>
        <v>Erfüllt</v>
      </c>
    </row>
    <row r="5" spans="1:4" ht="15.6" thickTop="1" thickBot="1" x14ac:dyDescent="0.35">
      <c r="A5" s="6" t="s">
        <v>75</v>
      </c>
      <c r="B5" s="7" cm="1">
        <f t="array" ref="B5">_xlfn.SWITCH(tblKPIUebersicht[[#This Row],[KPI]],"Nutzerfreundlichkeit",'Usability-Test'!$D$7,"Kalendersynchronisation",Kalendersynchronisation!$D$7,"Fehlerrate funktionaler Tests",'Funktionale Tests'!$D$7,"Systemverfügbarkeit im lokalen Testbetrieb",Verfügbarkeit!$D$7,"Response Time",'Response Time'!$D$6)</f>
        <v>0.9</v>
      </c>
      <c r="C5" s="7" cm="1">
        <f t="array" ref="C5">_xlfn.SWITCH(tblKPIUebersicht[[#This Row],[KPI]],"Nutzerfreundlichkeit",'Usability-Test'!$D$6,"Kalendersynchronisation",Kalendersynchronisation!$D$6,"Fehlerrate funktionaler Tests",'Funktionale Tests'!$D$6,"Systemverfügbarkeit im lokalen Testbetrieb",Verfügbarkeit!$D$6,"Response Time",'Response Time'!$D$5)</f>
        <v>1</v>
      </c>
      <c r="D5" s="13" t="str">
        <f>IF(OR(tblKPIUebersicht[[#This Row],[KPI]]="Fehlerrate funktionaler Tests",tblKPIUebersicht[[#This Row],[KPI]]="Response Time"),IF(tblKPIUebersicht[[#This Row],[Ist-Wert]]&lt;=tblKPIUebersicht[[#This Row],[Zielwert]],"Erfüllt","Nicht erfüllt"),IF(tblKPIUebersicht[[#This Row],[Ist-Wert]]&gt;=tblKPIUebersicht[[#This Row],[Zielwert]],"Erfüllt","Nicht erfüllt"))</f>
        <v>Erfüllt</v>
      </c>
    </row>
    <row r="6" spans="1:4" ht="15.6" thickTop="1" thickBot="1" x14ac:dyDescent="0.35">
      <c r="A6" s="6" t="s">
        <v>102</v>
      </c>
      <c r="B6" s="7" cm="1">
        <f t="array" ref="B6">_xlfn.SWITCH(tblKPIUebersicht[[#This Row],[KPI]],"Nutzerfreundlichkeit",'Usability-Test'!$D$7,"Kalendersynchronisation",Kalendersynchronisation!$D$7,"Fehlerrate funktionaler Tests",'Funktionale Tests'!$D$7,"Systemverfügbarkeit im lokalen Testbetrieb",Verfügbarkeit!$D$7,"Response Time",'Response Time'!$D$6)</f>
        <v>0.05</v>
      </c>
      <c r="C6" s="7" cm="1">
        <f t="array" ref="C6">_xlfn.SWITCH(tblKPIUebersicht[[#This Row],[KPI]],"Nutzerfreundlichkeit",'Usability-Test'!$D$6,"Kalendersynchronisation",Kalendersynchronisation!$D$6,"Fehlerrate funktionaler Tests",'Funktionale Tests'!$D$6,"Systemverfügbarkeit im lokalen Testbetrieb",Verfügbarkeit!$D$6,"Response Time",'Response Time'!$D$5)</f>
        <v>0</v>
      </c>
      <c r="D6" s="13" t="str">
        <f>IF(OR(tblKPIUebersicht[[#This Row],[KPI]]="Fehlerrate funktionaler Tests",tblKPIUebersicht[[#This Row],[KPI]]="Response Time"),IF(tblKPIUebersicht[[#This Row],[Ist-Wert]]&lt;=tblKPIUebersicht[[#This Row],[Zielwert]],"Erfüllt","Nicht erfüllt"),IF(tblKPIUebersicht[[#This Row],[Ist-Wert]]&gt;=tblKPIUebersicht[[#This Row],[Zielwert]],"Erfüllt","Nicht erfüllt"))</f>
        <v>Erfüllt</v>
      </c>
    </row>
    <row r="7" spans="1:4" ht="15.6" thickTop="1" thickBot="1" x14ac:dyDescent="0.35">
      <c r="A7" s="6" t="s">
        <v>103</v>
      </c>
      <c r="B7" s="7" cm="1">
        <f t="array" ref="B7">_xlfn.SWITCH(tblKPIUebersicht[[#This Row],[KPI]],"Nutzerfreundlichkeit",'Usability-Test'!$D$7,"Kalendersynchronisation",Kalendersynchronisation!$D$7,"Fehlerrate funktionaler Tests",'Funktionale Tests'!$D$7,"Systemverfügbarkeit im lokalen Testbetrieb",Verfügbarkeit!$D$7,"Response Time",'Response Time'!$D$6)</f>
        <v>0.99</v>
      </c>
      <c r="C7" s="7" cm="1">
        <f t="array" ref="C7">_xlfn.SWITCH(tblKPIUebersicht[[#This Row],[KPI]],"Nutzerfreundlichkeit",'Usability-Test'!$D$6,"Kalendersynchronisation",Kalendersynchronisation!$D$6,"Fehlerrate funktionaler Tests",'Funktionale Tests'!$D$6,"Systemverfügbarkeit im lokalen Testbetrieb",Verfügbarkeit!$D$6,"Response Time",'Response Time'!$D$5)</f>
        <v>1</v>
      </c>
      <c r="D7" s="13" t="str">
        <f>IF(OR(tblKPIUebersicht[[#This Row],[KPI]]="Fehlerrate funktionaler Tests",tblKPIUebersicht[[#This Row],[KPI]]="Response Time"),IF(tblKPIUebersicht[[#This Row],[Ist-Wert]]&lt;=tblKPIUebersicht[[#This Row],[Zielwert]],"Erfüllt","Nicht erfüllt"),IF(tblKPIUebersicht[[#This Row],[Ist-Wert]]&gt;=tblKPIUebersicht[[#This Row],[Zielwert]],"Erfüllt","Nicht erfüllt"))</f>
        <v>Erfüllt</v>
      </c>
    </row>
    <row r="8" spans="1:4" ht="15" thickTop="1" x14ac:dyDescent="0.3">
      <c r="A8" s="8" t="s">
        <v>96</v>
      </c>
      <c r="B8" s="9" cm="1">
        <f t="array" ref="B8">_xlfn.SWITCH(tblKPIUebersicht[[#This Row],[KPI]],"Nutzerfreundlichkeit",'Usability-Test'!$D$7,"Kalendersynchronisation",Kalendersynchronisation!$D$7,"Fehlerrate funktionaler Tests",'Funktionale Tests'!$D$7,"Systemverfügbarkeit im lokalen Testbetrieb",Verfügbarkeit!$D$7,"Response Time",'Response Time'!$D$6)</f>
        <v>2</v>
      </c>
      <c r="C8" s="9" cm="1">
        <f t="array" ref="C8">_xlfn.SWITCH(tblKPIUebersicht[[#This Row],[KPI]],"Nutzerfreundlichkeit",'Usability-Test'!$D$6,"Kalendersynchronisation",Kalendersynchronisation!$D$6,"Fehlerrate funktionaler Tests",'Funktionale Tests'!$D$6,"Systemverfügbarkeit im lokalen Testbetrieb",Verfügbarkeit!$D$6,"Response Time",'Response Time'!$D$5)</f>
        <v>1.66</v>
      </c>
      <c r="D8" s="14" t="str">
        <f>IF(OR(tblKPIUebersicht[[#This Row],[KPI]]="Fehlerrate funktionaler Tests",tblKPIUebersicht[[#This Row],[KPI]]="Response Time"),IF(tblKPIUebersicht[[#This Row],[Ist-Wert]]&lt;=tblKPIUebersicht[[#This Row],[Zielwert]],"Erfüllt","Nicht erfüllt"),IF(tblKPIUebersicht[[#This Row],[Ist-Wert]]&gt;=tblKPIUebersicht[[#This Row],[Zielwert]],"Erfüllt","Nicht erfüllt"))</f>
        <v>Erfüllt</v>
      </c>
    </row>
    <row r="9" spans="1:4" x14ac:dyDescent="0.3">
      <c r="A9" s="1"/>
      <c r="B9" s="1"/>
      <c r="C9" s="1"/>
      <c r="D9" s="1"/>
    </row>
    <row r="10" spans="1:4" hidden="1" x14ac:dyDescent="0.3"/>
    <row r="11" spans="1:4" hidden="1" x14ac:dyDescent="0.3"/>
    <row r="12" spans="1:4" hidden="1" x14ac:dyDescent="0.3"/>
    <row r="13" spans="1:4" hidden="1" x14ac:dyDescent="0.3"/>
    <row r="14" spans="1:4" hidden="1" x14ac:dyDescent="0.3"/>
    <row r="15" spans="1:4" hidden="1" x14ac:dyDescent="0.3"/>
    <row r="16" spans="1:4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2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  <row r="380" hidden="1" x14ac:dyDescent="0.3"/>
    <row r="381" hidden="1" x14ac:dyDescent="0.3"/>
    <row r="382" hidden="1" x14ac:dyDescent="0.3"/>
    <row r="383" hidden="1" x14ac:dyDescent="0.3"/>
    <row r="384" hidden="1" x14ac:dyDescent="0.3"/>
    <row r="385" hidden="1" x14ac:dyDescent="0.3"/>
    <row r="386" hidden="1" x14ac:dyDescent="0.3"/>
    <row r="387" hidden="1" x14ac:dyDescent="0.3"/>
    <row r="388" hidden="1" x14ac:dyDescent="0.3"/>
    <row r="389" hidden="1" x14ac:dyDescent="0.3"/>
    <row r="390" hidden="1" x14ac:dyDescent="0.3"/>
    <row r="391" hidden="1" x14ac:dyDescent="0.3"/>
    <row r="392" hidden="1" x14ac:dyDescent="0.3"/>
    <row r="393" hidden="1" x14ac:dyDescent="0.3"/>
    <row r="394" hidden="1" x14ac:dyDescent="0.3"/>
    <row r="395" hidden="1" x14ac:dyDescent="0.3"/>
    <row r="396" hidden="1" x14ac:dyDescent="0.3"/>
    <row r="397" hidden="1" x14ac:dyDescent="0.3"/>
    <row r="398" hidden="1" x14ac:dyDescent="0.3"/>
    <row r="399" hidden="1" x14ac:dyDescent="0.3"/>
    <row r="400" hidden="1" x14ac:dyDescent="0.3"/>
    <row r="401" hidden="1" x14ac:dyDescent="0.3"/>
    <row r="402" hidden="1" x14ac:dyDescent="0.3"/>
    <row r="403" hidden="1" x14ac:dyDescent="0.3"/>
    <row r="404" hidden="1" x14ac:dyDescent="0.3"/>
    <row r="405" hidden="1" x14ac:dyDescent="0.3"/>
    <row r="406" hidden="1" x14ac:dyDescent="0.3"/>
    <row r="407" hidden="1" x14ac:dyDescent="0.3"/>
    <row r="408" hidden="1" x14ac:dyDescent="0.3"/>
    <row r="409" hidden="1" x14ac:dyDescent="0.3"/>
    <row r="410" hidden="1" x14ac:dyDescent="0.3"/>
    <row r="411" hidden="1" x14ac:dyDescent="0.3"/>
    <row r="412" hidden="1" x14ac:dyDescent="0.3"/>
    <row r="413" hidden="1" x14ac:dyDescent="0.3"/>
    <row r="414" hidden="1" x14ac:dyDescent="0.3"/>
    <row r="415" hidden="1" x14ac:dyDescent="0.3"/>
    <row r="416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  <row r="427" hidden="1" x14ac:dyDescent="0.3"/>
    <row r="428" hidden="1" x14ac:dyDescent="0.3"/>
    <row r="429" hidden="1" x14ac:dyDescent="0.3"/>
    <row r="430" hidden="1" x14ac:dyDescent="0.3"/>
    <row r="431" hidden="1" x14ac:dyDescent="0.3"/>
    <row r="432" hidden="1" x14ac:dyDescent="0.3"/>
    <row r="433" hidden="1" x14ac:dyDescent="0.3"/>
    <row r="434" hidden="1" x14ac:dyDescent="0.3"/>
    <row r="435" hidden="1" x14ac:dyDescent="0.3"/>
    <row r="436" hidden="1" x14ac:dyDescent="0.3"/>
    <row r="437" hidden="1" x14ac:dyDescent="0.3"/>
    <row r="438" hidden="1" x14ac:dyDescent="0.3"/>
    <row r="439" hidden="1" x14ac:dyDescent="0.3"/>
    <row r="440" hidden="1" x14ac:dyDescent="0.3"/>
    <row r="441" hidden="1" x14ac:dyDescent="0.3"/>
    <row r="442" hidden="1" x14ac:dyDescent="0.3"/>
    <row r="443" hidden="1" x14ac:dyDescent="0.3"/>
    <row r="444" hidden="1" x14ac:dyDescent="0.3"/>
    <row r="445" hidden="1" x14ac:dyDescent="0.3"/>
    <row r="446" hidden="1" x14ac:dyDescent="0.3"/>
    <row r="447" hidden="1" x14ac:dyDescent="0.3"/>
    <row r="448" hidden="1" x14ac:dyDescent="0.3"/>
    <row r="449" hidden="1" x14ac:dyDescent="0.3"/>
    <row r="450" hidden="1" x14ac:dyDescent="0.3"/>
    <row r="451" hidden="1" x14ac:dyDescent="0.3"/>
    <row r="452" hidden="1" x14ac:dyDescent="0.3"/>
    <row r="453" hidden="1" x14ac:dyDescent="0.3"/>
    <row r="454" hidden="1" x14ac:dyDescent="0.3"/>
    <row r="455" hidden="1" x14ac:dyDescent="0.3"/>
    <row r="456" hidden="1" x14ac:dyDescent="0.3"/>
    <row r="457" hidden="1" x14ac:dyDescent="0.3"/>
    <row r="458" hidden="1" x14ac:dyDescent="0.3"/>
    <row r="459" hidden="1" x14ac:dyDescent="0.3"/>
    <row r="460" hidden="1" x14ac:dyDescent="0.3"/>
    <row r="461" hidden="1" x14ac:dyDescent="0.3"/>
    <row r="462" hidden="1" x14ac:dyDescent="0.3"/>
    <row r="463" hidden="1" x14ac:dyDescent="0.3"/>
    <row r="464" hidden="1" x14ac:dyDescent="0.3"/>
    <row r="465" hidden="1" x14ac:dyDescent="0.3"/>
    <row r="466" hidden="1" x14ac:dyDescent="0.3"/>
    <row r="467" hidden="1" x14ac:dyDescent="0.3"/>
    <row r="468" hidden="1" x14ac:dyDescent="0.3"/>
    <row r="469" hidden="1" x14ac:dyDescent="0.3"/>
    <row r="470" hidden="1" x14ac:dyDescent="0.3"/>
    <row r="471" hidden="1" x14ac:dyDescent="0.3"/>
    <row r="472" hidden="1" x14ac:dyDescent="0.3"/>
    <row r="473" hidden="1" x14ac:dyDescent="0.3"/>
    <row r="474" hidden="1" x14ac:dyDescent="0.3"/>
    <row r="475" hidden="1" x14ac:dyDescent="0.3"/>
    <row r="476" hidden="1" x14ac:dyDescent="0.3"/>
    <row r="477" hidden="1" x14ac:dyDescent="0.3"/>
    <row r="478" hidden="1" x14ac:dyDescent="0.3"/>
    <row r="479" hidden="1" x14ac:dyDescent="0.3"/>
    <row r="480" hidden="1" x14ac:dyDescent="0.3"/>
    <row r="481" hidden="1" x14ac:dyDescent="0.3"/>
    <row r="482" hidden="1" x14ac:dyDescent="0.3"/>
    <row r="483" hidden="1" x14ac:dyDescent="0.3"/>
    <row r="484" hidden="1" x14ac:dyDescent="0.3"/>
    <row r="485" hidden="1" x14ac:dyDescent="0.3"/>
    <row r="486" hidden="1" x14ac:dyDescent="0.3"/>
    <row r="487" hidden="1" x14ac:dyDescent="0.3"/>
    <row r="488" hidden="1" x14ac:dyDescent="0.3"/>
    <row r="489" hidden="1" x14ac:dyDescent="0.3"/>
    <row r="490" hidden="1" x14ac:dyDescent="0.3"/>
    <row r="491" hidden="1" x14ac:dyDescent="0.3"/>
    <row r="492" hidden="1" x14ac:dyDescent="0.3"/>
    <row r="493" hidden="1" x14ac:dyDescent="0.3"/>
    <row r="494" hidden="1" x14ac:dyDescent="0.3"/>
    <row r="495" hidden="1" x14ac:dyDescent="0.3"/>
    <row r="496" hidden="1" x14ac:dyDescent="0.3"/>
    <row r="497" hidden="1" x14ac:dyDescent="0.3"/>
    <row r="498" hidden="1" x14ac:dyDescent="0.3"/>
    <row r="499" hidden="1" x14ac:dyDescent="0.3"/>
    <row r="500" hidden="1" x14ac:dyDescent="0.3"/>
    <row r="501" hidden="1" x14ac:dyDescent="0.3"/>
    <row r="502" hidden="1" x14ac:dyDescent="0.3"/>
    <row r="503" hidden="1" x14ac:dyDescent="0.3"/>
    <row r="504" hidden="1" x14ac:dyDescent="0.3"/>
    <row r="505" hidden="1" x14ac:dyDescent="0.3"/>
    <row r="506" hidden="1" x14ac:dyDescent="0.3"/>
    <row r="507" hidden="1" x14ac:dyDescent="0.3"/>
    <row r="508" hidden="1" x14ac:dyDescent="0.3"/>
    <row r="509" hidden="1" x14ac:dyDescent="0.3"/>
    <row r="510" hidden="1" x14ac:dyDescent="0.3"/>
    <row r="511" hidden="1" x14ac:dyDescent="0.3"/>
    <row r="51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  <row r="553" hidden="1" x14ac:dyDescent="0.3"/>
    <row r="554" hidden="1" x14ac:dyDescent="0.3"/>
    <row r="555" hidden="1" x14ac:dyDescent="0.3"/>
    <row r="556" hidden="1" x14ac:dyDescent="0.3"/>
    <row r="557" hidden="1" x14ac:dyDescent="0.3"/>
    <row r="558" hidden="1" x14ac:dyDescent="0.3"/>
    <row r="559" hidden="1" x14ac:dyDescent="0.3"/>
    <row r="560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2" hidden="1" x14ac:dyDescent="0.3"/>
    <row r="583" hidden="1" x14ac:dyDescent="0.3"/>
    <row r="584" hidden="1" x14ac:dyDescent="0.3"/>
    <row r="585" hidden="1" x14ac:dyDescent="0.3"/>
    <row r="586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2" hidden="1" x14ac:dyDescent="0.3"/>
    <row r="593" hidden="1" x14ac:dyDescent="0.3"/>
    <row r="594" hidden="1" x14ac:dyDescent="0.3"/>
    <row r="595" hidden="1" x14ac:dyDescent="0.3"/>
    <row r="596" hidden="1" x14ac:dyDescent="0.3"/>
    <row r="597" hidden="1" x14ac:dyDescent="0.3"/>
    <row r="598" hidden="1" x14ac:dyDescent="0.3"/>
    <row r="599" hidden="1" x14ac:dyDescent="0.3"/>
    <row r="600" hidden="1" x14ac:dyDescent="0.3"/>
    <row r="601" hidden="1" x14ac:dyDescent="0.3"/>
    <row r="602" hidden="1" x14ac:dyDescent="0.3"/>
    <row r="603" hidden="1" x14ac:dyDescent="0.3"/>
    <row r="604" hidden="1" x14ac:dyDescent="0.3"/>
    <row r="605" hidden="1" x14ac:dyDescent="0.3"/>
    <row r="606" hidden="1" x14ac:dyDescent="0.3"/>
    <row r="607" hidden="1" x14ac:dyDescent="0.3"/>
    <row r="608" hidden="1" x14ac:dyDescent="0.3"/>
    <row r="609" hidden="1" x14ac:dyDescent="0.3"/>
    <row r="610" hidden="1" x14ac:dyDescent="0.3"/>
    <row r="611" hidden="1" x14ac:dyDescent="0.3"/>
    <row r="612" hidden="1" x14ac:dyDescent="0.3"/>
    <row r="613" hidden="1" x14ac:dyDescent="0.3"/>
    <row r="614" hidden="1" x14ac:dyDescent="0.3"/>
    <row r="615" hidden="1" x14ac:dyDescent="0.3"/>
    <row r="616" hidden="1" x14ac:dyDescent="0.3"/>
    <row r="617" hidden="1" x14ac:dyDescent="0.3"/>
    <row r="618" hidden="1" x14ac:dyDescent="0.3"/>
    <row r="619" hidden="1" x14ac:dyDescent="0.3"/>
    <row r="620" hidden="1" x14ac:dyDescent="0.3"/>
    <row r="621" hidden="1" x14ac:dyDescent="0.3"/>
    <row r="622" hidden="1" x14ac:dyDescent="0.3"/>
    <row r="623" hidden="1" x14ac:dyDescent="0.3"/>
    <row r="624" hidden="1" x14ac:dyDescent="0.3"/>
    <row r="625" hidden="1" x14ac:dyDescent="0.3"/>
    <row r="626" hidden="1" x14ac:dyDescent="0.3"/>
    <row r="627" hidden="1" x14ac:dyDescent="0.3"/>
    <row r="628" hidden="1" x14ac:dyDescent="0.3"/>
    <row r="629" hidden="1" x14ac:dyDescent="0.3"/>
    <row r="630" hidden="1" x14ac:dyDescent="0.3"/>
    <row r="631" hidden="1" x14ac:dyDescent="0.3"/>
    <row r="632" hidden="1" x14ac:dyDescent="0.3"/>
    <row r="633" hidden="1" x14ac:dyDescent="0.3"/>
    <row r="634" hidden="1" x14ac:dyDescent="0.3"/>
    <row r="635" hidden="1" x14ac:dyDescent="0.3"/>
    <row r="636" hidden="1" x14ac:dyDescent="0.3"/>
    <row r="637" hidden="1" x14ac:dyDescent="0.3"/>
    <row r="638" hidden="1" x14ac:dyDescent="0.3"/>
    <row r="639" hidden="1" x14ac:dyDescent="0.3"/>
    <row r="640" hidden="1" x14ac:dyDescent="0.3"/>
    <row r="641" hidden="1" x14ac:dyDescent="0.3"/>
    <row r="642" hidden="1" x14ac:dyDescent="0.3"/>
    <row r="643" hidden="1" x14ac:dyDescent="0.3"/>
    <row r="644" hidden="1" x14ac:dyDescent="0.3"/>
    <row r="645" hidden="1" x14ac:dyDescent="0.3"/>
    <row r="646" hidden="1" x14ac:dyDescent="0.3"/>
    <row r="647" hidden="1" x14ac:dyDescent="0.3"/>
    <row r="648" hidden="1" x14ac:dyDescent="0.3"/>
    <row r="649" hidden="1" x14ac:dyDescent="0.3"/>
    <row r="650" hidden="1" x14ac:dyDescent="0.3"/>
    <row r="651" hidden="1" x14ac:dyDescent="0.3"/>
    <row r="652" hidden="1" x14ac:dyDescent="0.3"/>
    <row r="653" hidden="1" x14ac:dyDescent="0.3"/>
    <row r="654" hidden="1" x14ac:dyDescent="0.3"/>
    <row r="655" hidden="1" x14ac:dyDescent="0.3"/>
    <row r="656" hidden="1" x14ac:dyDescent="0.3"/>
    <row r="657" hidden="1" x14ac:dyDescent="0.3"/>
    <row r="658" hidden="1" x14ac:dyDescent="0.3"/>
    <row r="659" hidden="1" x14ac:dyDescent="0.3"/>
    <row r="660" hidden="1" x14ac:dyDescent="0.3"/>
    <row r="661" hidden="1" x14ac:dyDescent="0.3"/>
    <row r="662" hidden="1" x14ac:dyDescent="0.3"/>
    <row r="663" hidden="1" x14ac:dyDescent="0.3"/>
    <row r="664" hidden="1" x14ac:dyDescent="0.3"/>
    <row r="665" hidden="1" x14ac:dyDescent="0.3"/>
    <row r="666" hidden="1" x14ac:dyDescent="0.3"/>
    <row r="667" hidden="1" x14ac:dyDescent="0.3"/>
    <row r="668" hidden="1" x14ac:dyDescent="0.3"/>
    <row r="669" hidden="1" x14ac:dyDescent="0.3"/>
    <row r="670" hidden="1" x14ac:dyDescent="0.3"/>
    <row r="671" hidden="1" x14ac:dyDescent="0.3"/>
    <row r="672" hidden="1" x14ac:dyDescent="0.3"/>
    <row r="673" hidden="1" x14ac:dyDescent="0.3"/>
    <row r="674" hidden="1" x14ac:dyDescent="0.3"/>
    <row r="675" hidden="1" x14ac:dyDescent="0.3"/>
    <row r="676" hidden="1" x14ac:dyDescent="0.3"/>
    <row r="677" hidden="1" x14ac:dyDescent="0.3"/>
    <row r="678" hidden="1" x14ac:dyDescent="0.3"/>
    <row r="679" hidden="1" x14ac:dyDescent="0.3"/>
    <row r="680" hidden="1" x14ac:dyDescent="0.3"/>
    <row r="681" hidden="1" x14ac:dyDescent="0.3"/>
    <row r="682" hidden="1" x14ac:dyDescent="0.3"/>
    <row r="683" hidden="1" x14ac:dyDescent="0.3"/>
    <row r="684" hidden="1" x14ac:dyDescent="0.3"/>
    <row r="685" hidden="1" x14ac:dyDescent="0.3"/>
    <row r="686" hidden="1" x14ac:dyDescent="0.3"/>
    <row r="687" hidden="1" x14ac:dyDescent="0.3"/>
    <row r="688" hidden="1" x14ac:dyDescent="0.3"/>
    <row r="689" hidden="1" x14ac:dyDescent="0.3"/>
    <row r="690" hidden="1" x14ac:dyDescent="0.3"/>
    <row r="691" hidden="1" x14ac:dyDescent="0.3"/>
    <row r="692" hidden="1" x14ac:dyDescent="0.3"/>
    <row r="693" hidden="1" x14ac:dyDescent="0.3"/>
    <row r="694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5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1" hidden="1" x14ac:dyDescent="0.3"/>
    <row r="712" hidden="1" x14ac:dyDescent="0.3"/>
    <row r="713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hidden="1" x14ac:dyDescent="0.3"/>
    <row r="722" hidden="1" x14ac:dyDescent="0.3"/>
    <row r="723" hidden="1" x14ac:dyDescent="0.3"/>
    <row r="724" hidden="1" x14ac:dyDescent="0.3"/>
    <row r="725" hidden="1" x14ac:dyDescent="0.3"/>
    <row r="726" hidden="1" x14ac:dyDescent="0.3"/>
    <row r="727" hidden="1" x14ac:dyDescent="0.3"/>
    <row r="728" hidden="1" x14ac:dyDescent="0.3"/>
    <row r="729" hidden="1" x14ac:dyDescent="0.3"/>
    <row r="730" hidden="1" x14ac:dyDescent="0.3"/>
    <row r="731" hidden="1" x14ac:dyDescent="0.3"/>
    <row r="732" hidden="1" x14ac:dyDescent="0.3"/>
    <row r="733" hidden="1" x14ac:dyDescent="0.3"/>
    <row r="734" hidden="1" x14ac:dyDescent="0.3"/>
    <row r="735" hidden="1" x14ac:dyDescent="0.3"/>
    <row r="736" hidden="1" x14ac:dyDescent="0.3"/>
    <row r="737" hidden="1" x14ac:dyDescent="0.3"/>
    <row r="738" hidden="1" x14ac:dyDescent="0.3"/>
    <row r="739" hidden="1" x14ac:dyDescent="0.3"/>
    <row r="740" hidden="1" x14ac:dyDescent="0.3"/>
    <row r="741" hidden="1" x14ac:dyDescent="0.3"/>
    <row r="742" hidden="1" x14ac:dyDescent="0.3"/>
    <row r="743" hidden="1" x14ac:dyDescent="0.3"/>
    <row r="744" hidden="1" x14ac:dyDescent="0.3"/>
    <row r="745" hidden="1" x14ac:dyDescent="0.3"/>
    <row r="746" hidden="1" x14ac:dyDescent="0.3"/>
    <row r="747" hidden="1" x14ac:dyDescent="0.3"/>
    <row r="748" hidden="1" x14ac:dyDescent="0.3"/>
    <row r="749" hidden="1" x14ac:dyDescent="0.3"/>
    <row r="750" hidden="1" x14ac:dyDescent="0.3"/>
    <row r="751" hidden="1" x14ac:dyDescent="0.3"/>
    <row r="752" hidden="1" x14ac:dyDescent="0.3"/>
    <row r="753" hidden="1" x14ac:dyDescent="0.3"/>
    <row r="754" hidden="1" x14ac:dyDescent="0.3"/>
    <row r="755" hidden="1" x14ac:dyDescent="0.3"/>
    <row r="756" hidden="1" x14ac:dyDescent="0.3"/>
    <row r="757" hidden="1" x14ac:dyDescent="0.3"/>
    <row r="758" hidden="1" x14ac:dyDescent="0.3"/>
    <row r="759" hidden="1" x14ac:dyDescent="0.3"/>
    <row r="760" hidden="1" x14ac:dyDescent="0.3"/>
    <row r="761" hidden="1" x14ac:dyDescent="0.3"/>
    <row r="762" hidden="1" x14ac:dyDescent="0.3"/>
    <row r="763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2" hidden="1" x14ac:dyDescent="0.3"/>
    <row r="773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79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5" hidden="1" x14ac:dyDescent="0.3"/>
    <row r="786" hidden="1" x14ac:dyDescent="0.3"/>
    <row r="787" hidden="1" x14ac:dyDescent="0.3"/>
    <row r="788" hidden="1" x14ac:dyDescent="0.3"/>
    <row r="789" hidden="1" x14ac:dyDescent="0.3"/>
    <row r="790" hidden="1" x14ac:dyDescent="0.3"/>
    <row r="791" hidden="1" x14ac:dyDescent="0.3"/>
    <row r="792" hidden="1" x14ac:dyDescent="0.3"/>
    <row r="793" hidden="1" x14ac:dyDescent="0.3"/>
    <row r="794" hidden="1" x14ac:dyDescent="0.3"/>
    <row r="795" hidden="1" x14ac:dyDescent="0.3"/>
    <row r="796" hidden="1" x14ac:dyDescent="0.3"/>
    <row r="797" hidden="1" x14ac:dyDescent="0.3"/>
    <row r="798" hidden="1" x14ac:dyDescent="0.3"/>
    <row r="799" hidden="1" x14ac:dyDescent="0.3"/>
    <row r="800" hidden="1" x14ac:dyDescent="0.3"/>
    <row r="801" hidden="1" x14ac:dyDescent="0.3"/>
    <row r="802" hidden="1" x14ac:dyDescent="0.3"/>
    <row r="803" hidden="1" x14ac:dyDescent="0.3"/>
    <row r="804" hidden="1" x14ac:dyDescent="0.3"/>
    <row r="805" hidden="1" x14ac:dyDescent="0.3"/>
    <row r="806" hidden="1" x14ac:dyDescent="0.3"/>
    <row r="807" hidden="1" x14ac:dyDescent="0.3"/>
    <row r="808" hidden="1" x14ac:dyDescent="0.3"/>
    <row r="809" hidden="1" x14ac:dyDescent="0.3"/>
    <row r="810" hidden="1" x14ac:dyDescent="0.3"/>
    <row r="811" hidden="1" x14ac:dyDescent="0.3"/>
    <row r="812" hidden="1" x14ac:dyDescent="0.3"/>
    <row r="813" hidden="1" x14ac:dyDescent="0.3"/>
    <row r="814" hidden="1" x14ac:dyDescent="0.3"/>
    <row r="815" hidden="1" x14ac:dyDescent="0.3"/>
    <row r="816" hidden="1" x14ac:dyDescent="0.3"/>
    <row r="817" hidden="1" x14ac:dyDescent="0.3"/>
    <row r="818" hidden="1" x14ac:dyDescent="0.3"/>
    <row r="819" hidden="1" x14ac:dyDescent="0.3"/>
    <row r="820" hidden="1" x14ac:dyDescent="0.3"/>
    <row r="821" hidden="1" x14ac:dyDescent="0.3"/>
    <row r="822" hidden="1" x14ac:dyDescent="0.3"/>
    <row r="823" hidden="1" x14ac:dyDescent="0.3"/>
    <row r="824" hidden="1" x14ac:dyDescent="0.3"/>
    <row r="825" hidden="1" x14ac:dyDescent="0.3"/>
    <row r="826" hidden="1" x14ac:dyDescent="0.3"/>
    <row r="827" hidden="1" x14ac:dyDescent="0.3"/>
    <row r="828" hidden="1" x14ac:dyDescent="0.3"/>
    <row r="829" hidden="1" x14ac:dyDescent="0.3"/>
    <row r="830" hidden="1" x14ac:dyDescent="0.3"/>
    <row r="831" hidden="1" x14ac:dyDescent="0.3"/>
    <row r="832" hidden="1" x14ac:dyDescent="0.3"/>
    <row r="833" hidden="1" x14ac:dyDescent="0.3"/>
    <row r="834" hidden="1" x14ac:dyDescent="0.3"/>
    <row r="835" hidden="1" x14ac:dyDescent="0.3"/>
    <row r="836" hidden="1" x14ac:dyDescent="0.3"/>
    <row r="837" hidden="1" x14ac:dyDescent="0.3"/>
    <row r="838" hidden="1" x14ac:dyDescent="0.3"/>
    <row r="839" hidden="1" x14ac:dyDescent="0.3"/>
    <row r="840" hidden="1" x14ac:dyDescent="0.3"/>
    <row r="841" hidden="1" x14ac:dyDescent="0.3"/>
    <row r="842" hidden="1" x14ac:dyDescent="0.3"/>
    <row r="843" hidden="1" x14ac:dyDescent="0.3"/>
    <row r="844" hidden="1" x14ac:dyDescent="0.3"/>
    <row r="845" hidden="1" x14ac:dyDescent="0.3"/>
    <row r="846" hidden="1" x14ac:dyDescent="0.3"/>
    <row r="847" hidden="1" x14ac:dyDescent="0.3"/>
    <row r="848" hidden="1" x14ac:dyDescent="0.3"/>
    <row r="849" hidden="1" x14ac:dyDescent="0.3"/>
    <row r="850" hidden="1" x14ac:dyDescent="0.3"/>
    <row r="851" hidden="1" x14ac:dyDescent="0.3"/>
    <row r="852" hidden="1" x14ac:dyDescent="0.3"/>
    <row r="853" hidden="1" x14ac:dyDescent="0.3"/>
    <row r="854" hidden="1" x14ac:dyDescent="0.3"/>
    <row r="855" hidden="1" x14ac:dyDescent="0.3"/>
    <row r="856" hidden="1" x14ac:dyDescent="0.3"/>
    <row r="857" hidden="1" x14ac:dyDescent="0.3"/>
    <row r="858" hidden="1" x14ac:dyDescent="0.3"/>
    <row r="859" hidden="1" x14ac:dyDescent="0.3"/>
    <row r="860" hidden="1" x14ac:dyDescent="0.3"/>
    <row r="861" hidden="1" x14ac:dyDescent="0.3"/>
    <row r="862" hidden="1" x14ac:dyDescent="0.3"/>
    <row r="863" hidden="1" x14ac:dyDescent="0.3"/>
    <row r="864" hidden="1" x14ac:dyDescent="0.3"/>
    <row r="865" hidden="1" x14ac:dyDescent="0.3"/>
    <row r="866" hidden="1" x14ac:dyDescent="0.3"/>
    <row r="867" hidden="1" x14ac:dyDescent="0.3"/>
    <row r="868" hidden="1" x14ac:dyDescent="0.3"/>
    <row r="869" hidden="1" x14ac:dyDescent="0.3"/>
    <row r="870" hidden="1" x14ac:dyDescent="0.3"/>
    <row r="871" hidden="1" x14ac:dyDescent="0.3"/>
    <row r="872" hidden="1" x14ac:dyDescent="0.3"/>
    <row r="873" hidden="1" x14ac:dyDescent="0.3"/>
    <row r="874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3" hidden="1" x14ac:dyDescent="0.3"/>
    <row r="884" hidden="1" x14ac:dyDescent="0.3"/>
    <row r="885" hidden="1" x14ac:dyDescent="0.3"/>
    <row r="886" hidden="1" x14ac:dyDescent="0.3"/>
    <row r="887" hidden="1" x14ac:dyDescent="0.3"/>
    <row r="888" hidden="1" x14ac:dyDescent="0.3"/>
    <row r="889" hidden="1" x14ac:dyDescent="0.3"/>
    <row r="890" hidden="1" x14ac:dyDescent="0.3"/>
    <row r="891" hidden="1" x14ac:dyDescent="0.3"/>
    <row r="892" hidden="1" x14ac:dyDescent="0.3"/>
    <row r="893" hidden="1" x14ac:dyDescent="0.3"/>
    <row r="894" hidden="1" x14ac:dyDescent="0.3"/>
    <row r="895" hidden="1" x14ac:dyDescent="0.3"/>
    <row r="896" hidden="1" x14ac:dyDescent="0.3"/>
    <row r="897" hidden="1" x14ac:dyDescent="0.3"/>
    <row r="898" hidden="1" x14ac:dyDescent="0.3"/>
    <row r="899" hidden="1" x14ac:dyDescent="0.3"/>
    <row r="900" hidden="1" x14ac:dyDescent="0.3"/>
    <row r="901" hidden="1" x14ac:dyDescent="0.3"/>
    <row r="902" hidden="1" x14ac:dyDescent="0.3"/>
    <row r="903" hidden="1" x14ac:dyDescent="0.3"/>
    <row r="904" hidden="1" x14ac:dyDescent="0.3"/>
    <row r="905" hidden="1" x14ac:dyDescent="0.3"/>
    <row r="906" hidden="1" x14ac:dyDescent="0.3"/>
    <row r="907" hidden="1" x14ac:dyDescent="0.3"/>
    <row r="908" hidden="1" x14ac:dyDescent="0.3"/>
    <row r="909" hidden="1" x14ac:dyDescent="0.3"/>
    <row r="910" hidden="1" x14ac:dyDescent="0.3"/>
    <row r="911" hidden="1" x14ac:dyDescent="0.3"/>
    <row r="912" hidden="1" x14ac:dyDescent="0.3"/>
    <row r="913" hidden="1" x14ac:dyDescent="0.3"/>
    <row r="914" hidden="1" x14ac:dyDescent="0.3"/>
    <row r="915" hidden="1" x14ac:dyDescent="0.3"/>
    <row r="916" hidden="1" x14ac:dyDescent="0.3"/>
    <row r="917" hidden="1" x14ac:dyDescent="0.3"/>
    <row r="918" hidden="1" x14ac:dyDescent="0.3"/>
    <row r="919" hidden="1" x14ac:dyDescent="0.3"/>
    <row r="920" hidden="1" x14ac:dyDescent="0.3"/>
    <row r="921" hidden="1" x14ac:dyDescent="0.3"/>
    <row r="922" hidden="1" x14ac:dyDescent="0.3"/>
    <row r="923" hidden="1" x14ac:dyDescent="0.3"/>
    <row r="924" hidden="1" x14ac:dyDescent="0.3"/>
    <row r="925" hidden="1" x14ac:dyDescent="0.3"/>
    <row r="926" hidden="1" x14ac:dyDescent="0.3"/>
    <row r="927" hidden="1" x14ac:dyDescent="0.3"/>
    <row r="928" hidden="1" x14ac:dyDescent="0.3"/>
    <row r="929" hidden="1" x14ac:dyDescent="0.3"/>
    <row r="930" hidden="1" x14ac:dyDescent="0.3"/>
    <row r="931" hidden="1" x14ac:dyDescent="0.3"/>
    <row r="932" hidden="1" x14ac:dyDescent="0.3"/>
    <row r="933" hidden="1" x14ac:dyDescent="0.3"/>
    <row r="934" hidden="1" x14ac:dyDescent="0.3"/>
    <row r="935" hidden="1" x14ac:dyDescent="0.3"/>
    <row r="936" hidden="1" x14ac:dyDescent="0.3"/>
    <row r="937" hidden="1" x14ac:dyDescent="0.3"/>
    <row r="938" hidden="1" x14ac:dyDescent="0.3"/>
    <row r="939" hidden="1" x14ac:dyDescent="0.3"/>
    <row r="940" hidden="1" x14ac:dyDescent="0.3"/>
    <row r="941" hidden="1" x14ac:dyDescent="0.3"/>
    <row r="942" hidden="1" x14ac:dyDescent="0.3"/>
    <row r="943" hidden="1" x14ac:dyDescent="0.3"/>
    <row r="944" hidden="1" x14ac:dyDescent="0.3"/>
    <row r="945" hidden="1" x14ac:dyDescent="0.3"/>
    <row r="946" hidden="1" x14ac:dyDescent="0.3"/>
    <row r="947" hidden="1" x14ac:dyDescent="0.3"/>
    <row r="948" hidden="1" x14ac:dyDescent="0.3"/>
    <row r="949" hidden="1" x14ac:dyDescent="0.3"/>
    <row r="950" hidden="1" x14ac:dyDescent="0.3"/>
    <row r="951" hidden="1" x14ac:dyDescent="0.3"/>
    <row r="952" hidden="1" x14ac:dyDescent="0.3"/>
    <row r="953" hidden="1" x14ac:dyDescent="0.3"/>
    <row r="954" hidden="1" x14ac:dyDescent="0.3"/>
    <row r="955" hidden="1" x14ac:dyDescent="0.3"/>
    <row r="956" hidden="1" x14ac:dyDescent="0.3"/>
    <row r="957" hidden="1" x14ac:dyDescent="0.3"/>
    <row r="958" hidden="1" x14ac:dyDescent="0.3"/>
    <row r="959" hidden="1" x14ac:dyDescent="0.3"/>
    <row r="960" hidden="1" x14ac:dyDescent="0.3"/>
    <row r="961" hidden="1" x14ac:dyDescent="0.3"/>
    <row r="962" hidden="1" x14ac:dyDescent="0.3"/>
    <row r="963" hidden="1" x14ac:dyDescent="0.3"/>
    <row r="964" hidden="1" x14ac:dyDescent="0.3"/>
    <row r="965" hidden="1" x14ac:dyDescent="0.3"/>
    <row r="966" hidden="1" x14ac:dyDescent="0.3"/>
    <row r="967" hidden="1" x14ac:dyDescent="0.3"/>
    <row r="968" hidden="1" x14ac:dyDescent="0.3"/>
    <row r="969" hidden="1" x14ac:dyDescent="0.3"/>
    <row r="970" hidden="1" x14ac:dyDescent="0.3"/>
    <row r="971" hidden="1" x14ac:dyDescent="0.3"/>
    <row r="972" hidden="1" x14ac:dyDescent="0.3"/>
    <row r="973" hidden="1" x14ac:dyDescent="0.3"/>
    <row r="974" hidden="1" x14ac:dyDescent="0.3"/>
    <row r="975" hidden="1" x14ac:dyDescent="0.3"/>
    <row r="976" hidden="1" x14ac:dyDescent="0.3"/>
    <row r="977" hidden="1" x14ac:dyDescent="0.3"/>
    <row r="978" hidden="1" x14ac:dyDescent="0.3"/>
    <row r="979" hidden="1" x14ac:dyDescent="0.3"/>
    <row r="980" hidden="1" x14ac:dyDescent="0.3"/>
    <row r="981" hidden="1" x14ac:dyDescent="0.3"/>
    <row r="982" hidden="1" x14ac:dyDescent="0.3"/>
    <row r="983" hidden="1" x14ac:dyDescent="0.3"/>
    <row r="984" hidden="1" x14ac:dyDescent="0.3"/>
    <row r="985" hidden="1" x14ac:dyDescent="0.3"/>
    <row r="986" hidden="1" x14ac:dyDescent="0.3"/>
    <row r="987" hidden="1" x14ac:dyDescent="0.3"/>
    <row r="988" hidden="1" x14ac:dyDescent="0.3"/>
    <row r="989" hidden="1" x14ac:dyDescent="0.3"/>
    <row r="990" hidden="1" x14ac:dyDescent="0.3"/>
    <row r="991" hidden="1" x14ac:dyDescent="0.3"/>
    <row r="992" hidden="1" x14ac:dyDescent="0.3"/>
    <row r="993" hidden="1" x14ac:dyDescent="0.3"/>
    <row r="994" hidden="1" x14ac:dyDescent="0.3"/>
    <row r="995" hidden="1" x14ac:dyDescent="0.3"/>
    <row r="996" hidden="1" x14ac:dyDescent="0.3"/>
    <row r="997" hidden="1" x14ac:dyDescent="0.3"/>
    <row r="998" hidden="1" x14ac:dyDescent="0.3"/>
    <row r="999" hidden="1" x14ac:dyDescent="0.3"/>
    <row r="1000" hidden="1" x14ac:dyDescent="0.3"/>
    <row r="1001" hidden="1" x14ac:dyDescent="0.3"/>
    <row r="1002" hidden="1" x14ac:dyDescent="0.3"/>
    <row r="1003" hidden="1" x14ac:dyDescent="0.3"/>
    <row r="1004" hidden="1" x14ac:dyDescent="0.3"/>
    <row r="1005" hidden="1" x14ac:dyDescent="0.3"/>
    <row r="1006" hidden="1" x14ac:dyDescent="0.3"/>
    <row r="1007" hidden="1" x14ac:dyDescent="0.3"/>
    <row r="1008" hidden="1" x14ac:dyDescent="0.3"/>
    <row r="1009" hidden="1" x14ac:dyDescent="0.3"/>
    <row r="1010" hidden="1" x14ac:dyDescent="0.3"/>
    <row r="1011" hidden="1" x14ac:dyDescent="0.3"/>
    <row r="1012" hidden="1" x14ac:dyDescent="0.3"/>
    <row r="1013" hidden="1" x14ac:dyDescent="0.3"/>
    <row r="1014" hidden="1" x14ac:dyDescent="0.3"/>
    <row r="1015" hidden="1" x14ac:dyDescent="0.3"/>
    <row r="1016" hidden="1" x14ac:dyDescent="0.3"/>
    <row r="1017" hidden="1" x14ac:dyDescent="0.3"/>
    <row r="1018" hidden="1" x14ac:dyDescent="0.3"/>
    <row r="1019" hidden="1" x14ac:dyDescent="0.3"/>
    <row r="1020" hidden="1" x14ac:dyDescent="0.3"/>
    <row r="1021" hidden="1" x14ac:dyDescent="0.3"/>
    <row r="1022" hidden="1" x14ac:dyDescent="0.3"/>
    <row r="1023" hidden="1" x14ac:dyDescent="0.3"/>
    <row r="1024" hidden="1" x14ac:dyDescent="0.3"/>
    <row r="1025" hidden="1" x14ac:dyDescent="0.3"/>
    <row r="1026" hidden="1" x14ac:dyDescent="0.3"/>
    <row r="1027" hidden="1" x14ac:dyDescent="0.3"/>
    <row r="1028" hidden="1" x14ac:dyDescent="0.3"/>
    <row r="1029" hidden="1" x14ac:dyDescent="0.3"/>
    <row r="1030" hidden="1" x14ac:dyDescent="0.3"/>
    <row r="1031" hidden="1" x14ac:dyDescent="0.3"/>
    <row r="1032" hidden="1" x14ac:dyDescent="0.3"/>
    <row r="1033" hidden="1" x14ac:dyDescent="0.3"/>
    <row r="1034" hidden="1" x14ac:dyDescent="0.3"/>
    <row r="1035" hidden="1" x14ac:dyDescent="0.3"/>
    <row r="1036" hidden="1" x14ac:dyDescent="0.3"/>
    <row r="1037" hidden="1" x14ac:dyDescent="0.3"/>
    <row r="1038" hidden="1" x14ac:dyDescent="0.3"/>
    <row r="1039" hidden="1" x14ac:dyDescent="0.3"/>
    <row r="1040" hidden="1" x14ac:dyDescent="0.3"/>
    <row r="1041" hidden="1" x14ac:dyDescent="0.3"/>
    <row r="1042" hidden="1" x14ac:dyDescent="0.3"/>
    <row r="1043" hidden="1" x14ac:dyDescent="0.3"/>
    <row r="1044" hidden="1" x14ac:dyDescent="0.3"/>
    <row r="1045" hidden="1" x14ac:dyDescent="0.3"/>
    <row r="1046" hidden="1" x14ac:dyDescent="0.3"/>
    <row r="1047" hidden="1" x14ac:dyDescent="0.3"/>
    <row r="1048" hidden="1" x14ac:dyDescent="0.3"/>
    <row r="1049" hidden="1" x14ac:dyDescent="0.3"/>
    <row r="1050" hidden="1" x14ac:dyDescent="0.3"/>
    <row r="1051" hidden="1" x14ac:dyDescent="0.3"/>
    <row r="1052" hidden="1" x14ac:dyDescent="0.3"/>
    <row r="1053" hidden="1" x14ac:dyDescent="0.3"/>
    <row r="1054" hidden="1" x14ac:dyDescent="0.3"/>
    <row r="1055" hidden="1" x14ac:dyDescent="0.3"/>
    <row r="1056" hidden="1" x14ac:dyDescent="0.3"/>
    <row r="1057" hidden="1" x14ac:dyDescent="0.3"/>
    <row r="1058" hidden="1" x14ac:dyDescent="0.3"/>
    <row r="1059" hidden="1" x14ac:dyDescent="0.3"/>
    <row r="1060" hidden="1" x14ac:dyDescent="0.3"/>
    <row r="1061" hidden="1" x14ac:dyDescent="0.3"/>
    <row r="1062" hidden="1" x14ac:dyDescent="0.3"/>
    <row r="1063" hidden="1" x14ac:dyDescent="0.3"/>
    <row r="1064" hidden="1" x14ac:dyDescent="0.3"/>
    <row r="1065" hidden="1" x14ac:dyDescent="0.3"/>
    <row r="1066" hidden="1" x14ac:dyDescent="0.3"/>
    <row r="1067" hidden="1" x14ac:dyDescent="0.3"/>
    <row r="1068" hidden="1" x14ac:dyDescent="0.3"/>
    <row r="1069" hidden="1" x14ac:dyDescent="0.3"/>
    <row r="1070" hidden="1" x14ac:dyDescent="0.3"/>
    <row r="1071" hidden="1" x14ac:dyDescent="0.3"/>
    <row r="1072" hidden="1" x14ac:dyDescent="0.3"/>
    <row r="1073" hidden="1" x14ac:dyDescent="0.3"/>
    <row r="1074" hidden="1" x14ac:dyDescent="0.3"/>
    <row r="1075" hidden="1" x14ac:dyDescent="0.3"/>
    <row r="1076" hidden="1" x14ac:dyDescent="0.3"/>
    <row r="1077" hidden="1" x14ac:dyDescent="0.3"/>
    <row r="1078" hidden="1" x14ac:dyDescent="0.3"/>
    <row r="1079" hidden="1" x14ac:dyDescent="0.3"/>
    <row r="1080" hidden="1" x14ac:dyDescent="0.3"/>
    <row r="1081" hidden="1" x14ac:dyDescent="0.3"/>
    <row r="1082" hidden="1" x14ac:dyDescent="0.3"/>
    <row r="1083" hidden="1" x14ac:dyDescent="0.3"/>
    <row r="1084" hidden="1" x14ac:dyDescent="0.3"/>
    <row r="1085" hidden="1" x14ac:dyDescent="0.3"/>
    <row r="1086" hidden="1" x14ac:dyDescent="0.3"/>
    <row r="1087" hidden="1" x14ac:dyDescent="0.3"/>
    <row r="1088" hidden="1" x14ac:dyDescent="0.3"/>
    <row r="1089" hidden="1" x14ac:dyDescent="0.3"/>
    <row r="1090" hidden="1" x14ac:dyDescent="0.3"/>
    <row r="1091" hidden="1" x14ac:dyDescent="0.3"/>
    <row r="1092" hidden="1" x14ac:dyDescent="0.3"/>
    <row r="1093" hidden="1" x14ac:dyDescent="0.3"/>
    <row r="1094" hidden="1" x14ac:dyDescent="0.3"/>
    <row r="1095" hidden="1" x14ac:dyDescent="0.3"/>
    <row r="1096" hidden="1" x14ac:dyDescent="0.3"/>
    <row r="1097" hidden="1" x14ac:dyDescent="0.3"/>
    <row r="1098" hidden="1" x14ac:dyDescent="0.3"/>
    <row r="1099" hidden="1" x14ac:dyDescent="0.3"/>
    <row r="1100" hidden="1" x14ac:dyDescent="0.3"/>
    <row r="1101" hidden="1" x14ac:dyDescent="0.3"/>
    <row r="1102" hidden="1" x14ac:dyDescent="0.3"/>
    <row r="1103" hidden="1" x14ac:dyDescent="0.3"/>
    <row r="1104" hidden="1" x14ac:dyDescent="0.3"/>
    <row r="1105" hidden="1" x14ac:dyDescent="0.3"/>
    <row r="1106" hidden="1" x14ac:dyDescent="0.3"/>
    <row r="1107" hidden="1" x14ac:dyDescent="0.3"/>
    <row r="1108" hidden="1" x14ac:dyDescent="0.3"/>
    <row r="1109" hidden="1" x14ac:dyDescent="0.3"/>
    <row r="1110" hidden="1" x14ac:dyDescent="0.3"/>
    <row r="1111" hidden="1" x14ac:dyDescent="0.3"/>
    <row r="1112" hidden="1" x14ac:dyDescent="0.3"/>
    <row r="1113" hidden="1" x14ac:dyDescent="0.3"/>
    <row r="1114" hidden="1" x14ac:dyDescent="0.3"/>
    <row r="1115" hidden="1" x14ac:dyDescent="0.3"/>
    <row r="1116" hidden="1" x14ac:dyDescent="0.3"/>
    <row r="1117" hidden="1" x14ac:dyDescent="0.3"/>
    <row r="1118" hidden="1" x14ac:dyDescent="0.3"/>
    <row r="1119" hidden="1" x14ac:dyDescent="0.3"/>
    <row r="1120" hidden="1" x14ac:dyDescent="0.3"/>
    <row r="1121" hidden="1" x14ac:dyDescent="0.3"/>
    <row r="1122" hidden="1" x14ac:dyDescent="0.3"/>
    <row r="1123" hidden="1" x14ac:dyDescent="0.3"/>
    <row r="1124" hidden="1" x14ac:dyDescent="0.3"/>
    <row r="1125" hidden="1" x14ac:dyDescent="0.3"/>
    <row r="1126" hidden="1" x14ac:dyDescent="0.3"/>
    <row r="1127" hidden="1" x14ac:dyDescent="0.3"/>
    <row r="1128" hidden="1" x14ac:dyDescent="0.3"/>
    <row r="1129" hidden="1" x14ac:dyDescent="0.3"/>
    <row r="1130" hidden="1" x14ac:dyDescent="0.3"/>
    <row r="1131" hidden="1" x14ac:dyDescent="0.3"/>
    <row r="1132" hidden="1" x14ac:dyDescent="0.3"/>
    <row r="1133" hidden="1" x14ac:dyDescent="0.3"/>
    <row r="1134" hidden="1" x14ac:dyDescent="0.3"/>
    <row r="1135" hidden="1" x14ac:dyDescent="0.3"/>
    <row r="1136" hidden="1" x14ac:dyDescent="0.3"/>
    <row r="1137" hidden="1" x14ac:dyDescent="0.3"/>
    <row r="1138" hidden="1" x14ac:dyDescent="0.3"/>
    <row r="1139" hidden="1" x14ac:dyDescent="0.3"/>
    <row r="1140" hidden="1" x14ac:dyDescent="0.3"/>
    <row r="1141" hidden="1" x14ac:dyDescent="0.3"/>
    <row r="1142" hidden="1" x14ac:dyDescent="0.3"/>
    <row r="1143" hidden="1" x14ac:dyDescent="0.3"/>
    <row r="1144" hidden="1" x14ac:dyDescent="0.3"/>
    <row r="1145" hidden="1" x14ac:dyDescent="0.3"/>
    <row r="1146" hidden="1" x14ac:dyDescent="0.3"/>
    <row r="1147" hidden="1" x14ac:dyDescent="0.3"/>
    <row r="1148" hidden="1" x14ac:dyDescent="0.3"/>
    <row r="1149" hidden="1" x14ac:dyDescent="0.3"/>
    <row r="1150" hidden="1" x14ac:dyDescent="0.3"/>
    <row r="1151" hidden="1" x14ac:dyDescent="0.3"/>
    <row r="1152" hidden="1" x14ac:dyDescent="0.3"/>
    <row r="1153" hidden="1" x14ac:dyDescent="0.3"/>
    <row r="1154" hidden="1" x14ac:dyDescent="0.3"/>
    <row r="1155" hidden="1" x14ac:dyDescent="0.3"/>
    <row r="1156" hidden="1" x14ac:dyDescent="0.3"/>
    <row r="1157" hidden="1" x14ac:dyDescent="0.3"/>
    <row r="1158" hidden="1" x14ac:dyDescent="0.3"/>
    <row r="1159" hidden="1" x14ac:dyDescent="0.3"/>
    <row r="1160" hidden="1" x14ac:dyDescent="0.3"/>
    <row r="1161" hidden="1" x14ac:dyDescent="0.3"/>
    <row r="1162" hidden="1" x14ac:dyDescent="0.3"/>
    <row r="1163" hidden="1" x14ac:dyDescent="0.3"/>
    <row r="1164" hidden="1" x14ac:dyDescent="0.3"/>
    <row r="1165" hidden="1" x14ac:dyDescent="0.3"/>
    <row r="1166" hidden="1" x14ac:dyDescent="0.3"/>
    <row r="1167" hidden="1" x14ac:dyDescent="0.3"/>
    <row r="1168" hidden="1" x14ac:dyDescent="0.3"/>
    <row r="1169" hidden="1" x14ac:dyDescent="0.3"/>
    <row r="1170" hidden="1" x14ac:dyDescent="0.3"/>
    <row r="1171" hidden="1" x14ac:dyDescent="0.3"/>
    <row r="1172" hidden="1" x14ac:dyDescent="0.3"/>
    <row r="1173" hidden="1" x14ac:dyDescent="0.3"/>
    <row r="1174" hidden="1" x14ac:dyDescent="0.3"/>
    <row r="1175" hidden="1" x14ac:dyDescent="0.3"/>
    <row r="1176" hidden="1" x14ac:dyDescent="0.3"/>
    <row r="1177" hidden="1" x14ac:dyDescent="0.3"/>
    <row r="1178" hidden="1" x14ac:dyDescent="0.3"/>
    <row r="1179" hidden="1" x14ac:dyDescent="0.3"/>
    <row r="1180" hidden="1" x14ac:dyDescent="0.3"/>
    <row r="1181" hidden="1" x14ac:dyDescent="0.3"/>
    <row r="1182" hidden="1" x14ac:dyDescent="0.3"/>
    <row r="1183" hidden="1" x14ac:dyDescent="0.3"/>
    <row r="1184" hidden="1" x14ac:dyDescent="0.3"/>
    <row r="1185" hidden="1" x14ac:dyDescent="0.3"/>
    <row r="1186" hidden="1" x14ac:dyDescent="0.3"/>
    <row r="1187" hidden="1" x14ac:dyDescent="0.3"/>
    <row r="1188" hidden="1" x14ac:dyDescent="0.3"/>
    <row r="1189" hidden="1" x14ac:dyDescent="0.3"/>
    <row r="1190" hidden="1" x14ac:dyDescent="0.3"/>
    <row r="1191" hidden="1" x14ac:dyDescent="0.3"/>
    <row r="1192" hidden="1" x14ac:dyDescent="0.3"/>
    <row r="1193" hidden="1" x14ac:dyDescent="0.3"/>
    <row r="1194" hidden="1" x14ac:dyDescent="0.3"/>
    <row r="1195" hidden="1" x14ac:dyDescent="0.3"/>
    <row r="1196" hidden="1" x14ac:dyDescent="0.3"/>
    <row r="1197" hidden="1" x14ac:dyDescent="0.3"/>
    <row r="1198" hidden="1" x14ac:dyDescent="0.3"/>
    <row r="1199" hidden="1" x14ac:dyDescent="0.3"/>
    <row r="1200" hidden="1" x14ac:dyDescent="0.3"/>
    <row r="1201" hidden="1" x14ac:dyDescent="0.3"/>
    <row r="1202" hidden="1" x14ac:dyDescent="0.3"/>
    <row r="1203" hidden="1" x14ac:dyDescent="0.3"/>
    <row r="1204" hidden="1" x14ac:dyDescent="0.3"/>
    <row r="1205" hidden="1" x14ac:dyDescent="0.3"/>
    <row r="1206" hidden="1" x14ac:dyDescent="0.3"/>
    <row r="1207" hidden="1" x14ac:dyDescent="0.3"/>
    <row r="1208" hidden="1" x14ac:dyDescent="0.3"/>
    <row r="1209" hidden="1" x14ac:dyDescent="0.3"/>
    <row r="1210" hidden="1" x14ac:dyDescent="0.3"/>
    <row r="1211" hidden="1" x14ac:dyDescent="0.3"/>
    <row r="1212" hidden="1" x14ac:dyDescent="0.3"/>
    <row r="1213" hidden="1" x14ac:dyDescent="0.3"/>
    <row r="1214" hidden="1" x14ac:dyDescent="0.3"/>
    <row r="1215" hidden="1" x14ac:dyDescent="0.3"/>
    <row r="1216" hidden="1" x14ac:dyDescent="0.3"/>
    <row r="1217" hidden="1" x14ac:dyDescent="0.3"/>
    <row r="1218" hidden="1" x14ac:dyDescent="0.3"/>
    <row r="1219" hidden="1" x14ac:dyDescent="0.3"/>
    <row r="1220" hidden="1" x14ac:dyDescent="0.3"/>
    <row r="1221" hidden="1" x14ac:dyDescent="0.3"/>
    <row r="1222" hidden="1" x14ac:dyDescent="0.3"/>
    <row r="1223" hidden="1" x14ac:dyDescent="0.3"/>
    <row r="1224" hidden="1" x14ac:dyDescent="0.3"/>
    <row r="1225" hidden="1" x14ac:dyDescent="0.3"/>
    <row r="1226" hidden="1" x14ac:dyDescent="0.3"/>
    <row r="1227" hidden="1" x14ac:dyDescent="0.3"/>
    <row r="1228" hidden="1" x14ac:dyDescent="0.3"/>
    <row r="1229" hidden="1" x14ac:dyDescent="0.3"/>
    <row r="1230" hidden="1" x14ac:dyDescent="0.3"/>
    <row r="1231" hidden="1" x14ac:dyDescent="0.3"/>
    <row r="1232" hidden="1" x14ac:dyDescent="0.3"/>
    <row r="1233" hidden="1" x14ac:dyDescent="0.3"/>
    <row r="1234" hidden="1" x14ac:dyDescent="0.3"/>
    <row r="1235" hidden="1" x14ac:dyDescent="0.3"/>
    <row r="1236" hidden="1" x14ac:dyDescent="0.3"/>
    <row r="1237" hidden="1" x14ac:dyDescent="0.3"/>
    <row r="1238" hidden="1" x14ac:dyDescent="0.3"/>
    <row r="1239" hidden="1" x14ac:dyDescent="0.3"/>
    <row r="1240" hidden="1" x14ac:dyDescent="0.3"/>
    <row r="1241" hidden="1" x14ac:dyDescent="0.3"/>
    <row r="1242" hidden="1" x14ac:dyDescent="0.3"/>
    <row r="1243" hidden="1" x14ac:dyDescent="0.3"/>
    <row r="1244" hidden="1" x14ac:dyDescent="0.3"/>
    <row r="1245" hidden="1" x14ac:dyDescent="0.3"/>
    <row r="1246" hidden="1" x14ac:dyDescent="0.3"/>
    <row r="1247" hidden="1" x14ac:dyDescent="0.3"/>
    <row r="1248" hidden="1" x14ac:dyDescent="0.3"/>
    <row r="1249" hidden="1" x14ac:dyDescent="0.3"/>
    <row r="1250" hidden="1" x14ac:dyDescent="0.3"/>
    <row r="1251" hidden="1" x14ac:dyDescent="0.3"/>
    <row r="1252" hidden="1" x14ac:dyDescent="0.3"/>
    <row r="1253" hidden="1" x14ac:dyDescent="0.3"/>
    <row r="1254" hidden="1" x14ac:dyDescent="0.3"/>
    <row r="1255" hidden="1" x14ac:dyDescent="0.3"/>
    <row r="1256" hidden="1" x14ac:dyDescent="0.3"/>
    <row r="1257" hidden="1" x14ac:dyDescent="0.3"/>
    <row r="1258" hidden="1" x14ac:dyDescent="0.3"/>
    <row r="1259" hidden="1" x14ac:dyDescent="0.3"/>
    <row r="1260" hidden="1" x14ac:dyDescent="0.3"/>
    <row r="1261" hidden="1" x14ac:dyDescent="0.3"/>
    <row r="1262" hidden="1" x14ac:dyDescent="0.3"/>
    <row r="1263" hidden="1" x14ac:dyDescent="0.3"/>
    <row r="1264" hidden="1" x14ac:dyDescent="0.3"/>
    <row r="1265" hidden="1" x14ac:dyDescent="0.3"/>
    <row r="1266" hidden="1" x14ac:dyDescent="0.3"/>
    <row r="1267" hidden="1" x14ac:dyDescent="0.3"/>
    <row r="1268" hidden="1" x14ac:dyDescent="0.3"/>
    <row r="1269" hidden="1" x14ac:dyDescent="0.3"/>
    <row r="1270" hidden="1" x14ac:dyDescent="0.3"/>
    <row r="1271" hidden="1" x14ac:dyDescent="0.3"/>
    <row r="1272" hidden="1" x14ac:dyDescent="0.3"/>
    <row r="1273" hidden="1" x14ac:dyDescent="0.3"/>
    <row r="1274" hidden="1" x14ac:dyDescent="0.3"/>
    <row r="1275" hidden="1" x14ac:dyDescent="0.3"/>
    <row r="1276" hidden="1" x14ac:dyDescent="0.3"/>
    <row r="1277" hidden="1" x14ac:dyDescent="0.3"/>
    <row r="1278" hidden="1" x14ac:dyDescent="0.3"/>
    <row r="1279" hidden="1" x14ac:dyDescent="0.3"/>
    <row r="1280" hidden="1" x14ac:dyDescent="0.3"/>
    <row r="1281" hidden="1" x14ac:dyDescent="0.3"/>
    <row r="1282" hidden="1" x14ac:dyDescent="0.3"/>
    <row r="1283" hidden="1" x14ac:dyDescent="0.3"/>
    <row r="1284" hidden="1" x14ac:dyDescent="0.3"/>
    <row r="1285" hidden="1" x14ac:dyDescent="0.3"/>
    <row r="1286" hidden="1" x14ac:dyDescent="0.3"/>
    <row r="1287" hidden="1" x14ac:dyDescent="0.3"/>
    <row r="1288" hidden="1" x14ac:dyDescent="0.3"/>
    <row r="1289" hidden="1" x14ac:dyDescent="0.3"/>
    <row r="1290" hidden="1" x14ac:dyDescent="0.3"/>
    <row r="1291" hidden="1" x14ac:dyDescent="0.3"/>
    <row r="1292" hidden="1" x14ac:dyDescent="0.3"/>
    <row r="1293" hidden="1" x14ac:dyDescent="0.3"/>
    <row r="1294" hidden="1" x14ac:dyDescent="0.3"/>
    <row r="1295" hidden="1" x14ac:dyDescent="0.3"/>
    <row r="1296" hidden="1" x14ac:dyDescent="0.3"/>
    <row r="1297" hidden="1" x14ac:dyDescent="0.3"/>
    <row r="1298" hidden="1" x14ac:dyDescent="0.3"/>
    <row r="1299" hidden="1" x14ac:dyDescent="0.3"/>
    <row r="1300" hidden="1" x14ac:dyDescent="0.3"/>
    <row r="1301" hidden="1" x14ac:dyDescent="0.3"/>
    <row r="1302" hidden="1" x14ac:dyDescent="0.3"/>
    <row r="1303" hidden="1" x14ac:dyDescent="0.3"/>
    <row r="1304" hidden="1" x14ac:dyDescent="0.3"/>
    <row r="1305" hidden="1" x14ac:dyDescent="0.3"/>
    <row r="1306" hidden="1" x14ac:dyDescent="0.3"/>
    <row r="1307" hidden="1" x14ac:dyDescent="0.3"/>
    <row r="1308" hidden="1" x14ac:dyDescent="0.3"/>
    <row r="1309" hidden="1" x14ac:dyDescent="0.3"/>
    <row r="1310" hidden="1" x14ac:dyDescent="0.3"/>
    <row r="1311" hidden="1" x14ac:dyDescent="0.3"/>
    <row r="1312" hidden="1" x14ac:dyDescent="0.3"/>
    <row r="1313" hidden="1" x14ac:dyDescent="0.3"/>
    <row r="1314" hidden="1" x14ac:dyDescent="0.3"/>
    <row r="1315" hidden="1" x14ac:dyDescent="0.3"/>
    <row r="1316" hidden="1" x14ac:dyDescent="0.3"/>
    <row r="1317" hidden="1" x14ac:dyDescent="0.3"/>
    <row r="1318" hidden="1" x14ac:dyDescent="0.3"/>
    <row r="1319" hidden="1" x14ac:dyDescent="0.3"/>
    <row r="1320" hidden="1" x14ac:dyDescent="0.3"/>
    <row r="1321" hidden="1" x14ac:dyDescent="0.3"/>
    <row r="1322" hidden="1" x14ac:dyDescent="0.3"/>
    <row r="1323" hidden="1" x14ac:dyDescent="0.3"/>
    <row r="1324" hidden="1" x14ac:dyDescent="0.3"/>
    <row r="1325" hidden="1" x14ac:dyDescent="0.3"/>
    <row r="1326" hidden="1" x14ac:dyDescent="0.3"/>
    <row r="1327" hidden="1" x14ac:dyDescent="0.3"/>
    <row r="1328" hidden="1" x14ac:dyDescent="0.3"/>
    <row r="1329" hidden="1" x14ac:dyDescent="0.3"/>
    <row r="1330" hidden="1" x14ac:dyDescent="0.3"/>
    <row r="1331" hidden="1" x14ac:dyDescent="0.3"/>
    <row r="1332" hidden="1" x14ac:dyDescent="0.3"/>
    <row r="1333" hidden="1" x14ac:dyDescent="0.3"/>
    <row r="1334" hidden="1" x14ac:dyDescent="0.3"/>
    <row r="1335" hidden="1" x14ac:dyDescent="0.3"/>
    <row r="1336" hidden="1" x14ac:dyDescent="0.3"/>
    <row r="1337" hidden="1" x14ac:dyDescent="0.3"/>
    <row r="1338" hidden="1" x14ac:dyDescent="0.3"/>
    <row r="1339" hidden="1" x14ac:dyDescent="0.3"/>
    <row r="1340" hidden="1" x14ac:dyDescent="0.3"/>
    <row r="1341" hidden="1" x14ac:dyDescent="0.3"/>
    <row r="1342" hidden="1" x14ac:dyDescent="0.3"/>
    <row r="1343" hidden="1" x14ac:dyDescent="0.3"/>
    <row r="1344" hidden="1" x14ac:dyDescent="0.3"/>
    <row r="1345" hidden="1" x14ac:dyDescent="0.3"/>
    <row r="1346" hidden="1" x14ac:dyDescent="0.3"/>
    <row r="1347" hidden="1" x14ac:dyDescent="0.3"/>
    <row r="1348" hidden="1" x14ac:dyDescent="0.3"/>
    <row r="1349" hidden="1" x14ac:dyDescent="0.3"/>
    <row r="1350" hidden="1" x14ac:dyDescent="0.3"/>
    <row r="1351" hidden="1" x14ac:dyDescent="0.3"/>
    <row r="1352" hidden="1" x14ac:dyDescent="0.3"/>
    <row r="1353" hidden="1" x14ac:dyDescent="0.3"/>
    <row r="1354" hidden="1" x14ac:dyDescent="0.3"/>
    <row r="1355" hidden="1" x14ac:dyDescent="0.3"/>
    <row r="1356" hidden="1" x14ac:dyDescent="0.3"/>
    <row r="1357" hidden="1" x14ac:dyDescent="0.3"/>
    <row r="1358" hidden="1" x14ac:dyDescent="0.3"/>
    <row r="1359" hidden="1" x14ac:dyDescent="0.3"/>
    <row r="1360" hidden="1" x14ac:dyDescent="0.3"/>
    <row r="1361" hidden="1" x14ac:dyDescent="0.3"/>
    <row r="1362" hidden="1" x14ac:dyDescent="0.3"/>
    <row r="1363" hidden="1" x14ac:dyDescent="0.3"/>
    <row r="1364" hidden="1" x14ac:dyDescent="0.3"/>
    <row r="1365" hidden="1" x14ac:dyDescent="0.3"/>
    <row r="1366" hidden="1" x14ac:dyDescent="0.3"/>
    <row r="1367" hidden="1" x14ac:dyDescent="0.3"/>
    <row r="1368" hidden="1" x14ac:dyDescent="0.3"/>
    <row r="1369" hidden="1" x14ac:dyDescent="0.3"/>
    <row r="1370" hidden="1" x14ac:dyDescent="0.3"/>
    <row r="1371" hidden="1" x14ac:dyDescent="0.3"/>
    <row r="1372" hidden="1" x14ac:dyDescent="0.3"/>
    <row r="1373" hidden="1" x14ac:dyDescent="0.3"/>
    <row r="1374" hidden="1" x14ac:dyDescent="0.3"/>
    <row r="1375" hidden="1" x14ac:dyDescent="0.3"/>
    <row r="1376" hidden="1" x14ac:dyDescent="0.3"/>
    <row r="1377" hidden="1" x14ac:dyDescent="0.3"/>
    <row r="1378" hidden="1" x14ac:dyDescent="0.3"/>
    <row r="1379" hidden="1" x14ac:dyDescent="0.3"/>
    <row r="1380" hidden="1" x14ac:dyDescent="0.3"/>
    <row r="1381" hidden="1" x14ac:dyDescent="0.3"/>
    <row r="1382" hidden="1" x14ac:dyDescent="0.3"/>
    <row r="1383" hidden="1" x14ac:dyDescent="0.3"/>
    <row r="1384" hidden="1" x14ac:dyDescent="0.3"/>
    <row r="1385" hidden="1" x14ac:dyDescent="0.3"/>
    <row r="1386" hidden="1" x14ac:dyDescent="0.3"/>
    <row r="1387" hidden="1" x14ac:dyDescent="0.3"/>
    <row r="1388" hidden="1" x14ac:dyDescent="0.3"/>
    <row r="1389" hidden="1" x14ac:dyDescent="0.3"/>
    <row r="1390" hidden="1" x14ac:dyDescent="0.3"/>
    <row r="1391" hidden="1" x14ac:dyDescent="0.3"/>
    <row r="1392" hidden="1" x14ac:dyDescent="0.3"/>
    <row r="1393" hidden="1" x14ac:dyDescent="0.3"/>
    <row r="1394" hidden="1" x14ac:dyDescent="0.3"/>
    <row r="1395" hidden="1" x14ac:dyDescent="0.3"/>
    <row r="1396" hidden="1" x14ac:dyDescent="0.3"/>
    <row r="1397" hidden="1" x14ac:dyDescent="0.3"/>
    <row r="1398" hidden="1" x14ac:dyDescent="0.3"/>
    <row r="1399" hidden="1" x14ac:dyDescent="0.3"/>
    <row r="1400" hidden="1" x14ac:dyDescent="0.3"/>
    <row r="1401" hidden="1" x14ac:dyDescent="0.3"/>
    <row r="1402" hidden="1" x14ac:dyDescent="0.3"/>
    <row r="1403" hidden="1" x14ac:dyDescent="0.3"/>
    <row r="1404" hidden="1" x14ac:dyDescent="0.3"/>
    <row r="1405" hidden="1" x14ac:dyDescent="0.3"/>
    <row r="1406" hidden="1" x14ac:dyDescent="0.3"/>
    <row r="1407" hidden="1" x14ac:dyDescent="0.3"/>
    <row r="1408" hidden="1" x14ac:dyDescent="0.3"/>
    <row r="1409" hidden="1" x14ac:dyDescent="0.3"/>
    <row r="1410" hidden="1" x14ac:dyDescent="0.3"/>
    <row r="1411" hidden="1" x14ac:dyDescent="0.3"/>
    <row r="1412" hidden="1" x14ac:dyDescent="0.3"/>
    <row r="1413" hidden="1" x14ac:dyDescent="0.3"/>
    <row r="1414" hidden="1" x14ac:dyDescent="0.3"/>
    <row r="1415" hidden="1" x14ac:dyDescent="0.3"/>
    <row r="1416" hidden="1" x14ac:dyDescent="0.3"/>
    <row r="1417" hidden="1" x14ac:dyDescent="0.3"/>
    <row r="1418" hidden="1" x14ac:dyDescent="0.3"/>
    <row r="1419" hidden="1" x14ac:dyDescent="0.3"/>
    <row r="1420" hidden="1" x14ac:dyDescent="0.3"/>
    <row r="1421" hidden="1" x14ac:dyDescent="0.3"/>
    <row r="1422" hidden="1" x14ac:dyDescent="0.3"/>
    <row r="1423" hidden="1" x14ac:dyDescent="0.3"/>
    <row r="1424" hidden="1" x14ac:dyDescent="0.3"/>
    <row r="1425" hidden="1" x14ac:dyDescent="0.3"/>
    <row r="1426" hidden="1" x14ac:dyDescent="0.3"/>
    <row r="1427" hidden="1" x14ac:dyDescent="0.3"/>
    <row r="1428" hidden="1" x14ac:dyDescent="0.3"/>
    <row r="1429" hidden="1" x14ac:dyDescent="0.3"/>
    <row r="1430" hidden="1" x14ac:dyDescent="0.3"/>
    <row r="1431" hidden="1" x14ac:dyDescent="0.3"/>
    <row r="1432" hidden="1" x14ac:dyDescent="0.3"/>
    <row r="1433" hidden="1" x14ac:dyDescent="0.3"/>
    <row r="1434" hidden="1" x14ac:dyDescent="0.3"/>
    <row r="1435" hidden="1" x14ac:dyDescent="0.3"/>
    <row r="1436" hidden="1" x14ac:dyDescent="0.3"/>
    <row r="1437" hidden="1" x14ac:dyDescent="0.3"/>
    <row r="1438" hidden="1" x14ac:dyDescent="0.3"/>
    <row r="1439" hidden="1" x14ac:dyDescent="0.3"/>
    <row r="1440" hidden="1" x14ac:dyDescent="0.3"/>
    <row r="1441" hidden="1" x14ac:dyDescent="0.3"/>
    <row r="1442" hidden="1" x14ac:dyDescent="0.3"/>
    <row r="1443" hidden="1" x14ac:dyDescent="0.3"/>
    <row r="1444" hidden="1" x14ac:dyDescent="0.3"/>
    <row r="1445" hidden="1" x14ac:dyDescent="0.3"/>
    <row r="1446" hidden="1" x14ac:dyDescent="0.3"/>
    <row r="1447" hidden="1" x14ac:dyDescent="0.3"/>
    <row r="1448" hidden="1" x14ac:dyDescent="0.3"/>
    <row r="1449" hidden="1" x14ac:dyDescent="0.3"/>
    <row r="1450" hidden="1" x14ac:dyDescent="0.3"/>
    <row r="1451" hidden="1" x14ac:dyDescent="0.3"/>
    <row r="1452" hidden="1" x14ac:dyDescent="0.3"/>
    <row r="1453" hidden="1" x14ac:dyDescent="0.3"/>
    <row r="1454" hidden="1" x14ac:dyDescent="0.3"/>
    <row r="1455" hidden="1" x14ac:dyDescent="0.3"/>
    <row r="1456" hidden="1" x14ac:dyDescent="0.3"/>
    <row r="1457" hidden="1" x14ac:dyDescent="0.3"/>
    <row r="1458" hidden="1" x14ac:dyDescent="0.3"/>
    <row r="1459" hidden="1" x14ac:dyDescent="0.3"/>
    <row r="1460" hidden="1" x14ac:dyDescent="0.3"/>
    <row r="1461" hidden="1" x14ac:dyDescent="0.3"/>
    <row r="1462" hidden="1" x14ac:dyDescent="0.3"/>
    <row r="1463" hidden="1" x14ac:dyDescent="0.3"/>
    <row r="1464" hidden="1" x14ac:dyDescent="0.3"/>
    <row r="1465" hidden="1" x14ac:dyDescent="0.3"/>
    <row r="1466" hidden="1" x14ac:dyDescent="0.3"/>
    <row r="1467" hidden="1" x14ac:dyDescent="0.3"/>
    <row r="1468" hidden="1" x14ac:dyDescent="0.3"/>
    <row r="1469" hidden="1" x14ac:dyDescent="0.3"/>
    <row r="1470" hidden="1" x14ac:dyDescent="0.3"/>
    <row r="1471" hidden="1" x14ac:dyDescent="0.3"/>
    <row r="1472" hidden="1" x14ac:dyDescent="0.3"/>
    <row r="1473" hidden="1" x14ac:dyDescent="0.3"/>
    <row r="1474" hidden="1" x14ac:dyDescent="0.3"/>
    <row r="1475" hidden="1" x14ac:dyDescent="0.3"/>
    <row r="1476" hidden="1" x14ac:dyDescent="0.3"/>
    <row r="1477" hidden="1" x14ac:dyDescent="0.3"/>
    <row r="1478" hidden="1" x14ac:dyDescent="0.3"/>
    <row r="1479" hidden="1" x14ac:dyDescent="0.3"/>
    <row r="1480" hidden="1" x14ac:dyDescent="0.3"/>
    <row r="1481" hidden="1" x14ac:dyDescent="0.3"/>
    <row r="1482" hidden="1" x14ac:dyDescent="0.3"/>
    <row r="1483" hidden="1" x14ac:dyDescent="0.3"/>
    <row r="1484" hidden="1" x14ac:dyDescent="0.3"/>
    <row r="1485" hidden="1" x14ac:dyDescent="0.3"/>
    <row r="1486" hidden="1" x14ac:dyDescent="0.3"/>
    <row r="1487" hidden="1" x14ac:dyDescent="0.3"/>
    <row r="1488" hidden="1" x14ac:dyDescent="0.3"/>
    <row r="1489" hidden="1" x14ac:dyDescent="0.3"/>
    <row r="1490" hidden="1" x14ac:dyDescent="0.3"/>
    <row r="1491" hidden="1" x14ac:dyDescent="0.3"/>
    <row r="1492" hidden="1" x14ac:dyDescent="0.3"/>
    <row r="1493" hidden="1" x14ac:dyDescent="0.3"/>
    <row r="1494" hidden="1" x14ac:dyDescent="0.3"/>
    <row r="1495" hidden="1" x14ac:dyDescent="0.3"/>
    <row r="1496" hidden="1" x14ac:dyDescent="0.3"/>
    <row r="1497" hidden="1" x14ac:dyDescent="0.3"/>
    <row r="1498" hidden="1" x14ac:dyDescent="0.3"/>
    <row r="1499" hidden="1" x14ac:dyDescent="0.3"/>
    <row r="1500" hidden="1" x14ac:dyDescent="0.3"/>
    <row r="1501" hidden="1" x14ac:dyDescent="0.3"/>
    <row r="1502" hidden="1" x14ac:dyDescent="0.3"/>
    <row r="1503" hidden="1" x14ac:dyDescent="0.3"/>
    <row r="1504" hidden="1" x14ac:dyDescent="0.3"/>
    <row r="1505" hidden="1" x14ac:dyDescent="0.3"/>
    <row r="1506" hidden="1" x14ac:dyDescent="0.3"/>
    <row r="1507" hidden="1" x14ac:dyDescent="0.3"/>
    <row r="1508" hidden="1" x14ac:dyDescent="0.3"/>
    <row r="1509" hidden="1" x14ac:dyDescent="0.3"/>
    <row r="1510" hidden="1" x14ac:dyDescent="0.3"/>
    <row r="1511" hidden="1" x14ac:dyDescent="0.3"/>
    <row r="1512" hidden="1" x14ac:dyDescent="0.3"/>
    <row r="1513" hidden="1" x14ac:dyDescent="0.3"/>
    <row r="1514" hidden="1" x14ac:dyDescent="0.3"/>
    <row r="1515" hidden="1" x14ac:dyDescent="0.3"/>
    <row r="1516" hidden="1" x14ac:dyDescent="0.3"/>
    <row r="1517" hidden="1" x14ac:dyDescent="0.3"/>
    <row r="1518" hidden="1" x14ac:dyDescent="0.3"/>
    <row r="1519" hidden="1" x14ac:dyDescent="0.3"/>
    <row r="1520" hidden="1" x14ac:dyDescent="0.3"/>
    <row r="1521" hidden="1" x14ac:dyDescent="0.3"/>
    <row r="1522" hidden="1" x14ac:dyDescent="0.3"/>
    <row r="1523" hidden="1" x14ac:dyDescent="0.3"/>
    <row r="1524" hidden="1" x14ac:dyDescent="0.3"/>
    <row r="1525" hidden="1" x14ac:dyDescent="0.3"/>
    <row r="1526" hidden="1" x14ac:dyDescent="0.3"/>
    <row r="1527" hidden="1" x14ac:dyDescent="0.3"/>
    <row r="1528" hidden="1" x14ac:dyDescent="0.3"/>
    <row r="1529" hidden="1" x14ac:dyDescent="0.3"/>
    <row r="1530" hidden="1" x14ac:dyDescent="0.3"/>
    <row r="1531" hidden="1" x14ac:dyDescent="0.3"/>
    <row r="1532" hidden="1" x14ac:dyDescent="0.3"/>
    <row r="1533" hidden="1" x14ac:dyDescent="0.3"/>
    <row r="1534" hidden="1" x14ac:dyDescent="0.3"/>
    <row r="1535" hidden="1" x14ac:dyDescent="0.3"/>
    <row r="1536" hidden="1" x14ac:dyDescent="0.3"/>
    <row r="1537" hidden="1" x14ac:dyDescent="0.3"/>
    <row r="1538" hidden="1" x14ac:dyDescent="0.3"/>
    <row r="1539" hidden="1" x14ac:dyDescent="0.3"/>
    <row r="1540" hidden="1" x14ac:dyDescent="0.3"/>
    <row r="1541" hidden="1" x14ac:dyDescent="0.3"/>
    <row r="1542" hidden="1" x14ac:dyDescent="0.3"/>
    <row r="1543" hidden="1" x14ac:dyDescent="0.3"/>
    <row r="1544" hidden="1" x14ac:dyDescent="0.3"/>
    <row r="1545" hidden="1" x14ac:dyDescent="0.3"/>
    <row r="1546" hidden="1" x14ac:dyDescent="0.3"/>
    <row r="1547" hidden="1" x14ac:dyDescent="0.3"/>
    <row r="1548" hidden="1" x14ac:dyDescent="0.3"/>
    <row r="1549" hidden="1" x14ac:dyDescent="0.3"/>
    <row r="1550" hidden="1" x14ac:dyDescent="0.3"/>
    <row r="1551" hidden="1" x14ac:dyDescent="0.3"/>
    <row r="1552" hidden="1" x14ac:dyDescent="0.3"/>
    <row r="1553" hidden="1" x14ac:dyDescent="0.3"/>
    <row r="1554" hidden="1" x14ac:dyDescent="0.3"/>
    <row r="1555" hidden="1" x14ac:dyDescent="0.3"/>
    <row r="1556" hidden="1" x14ac:dyDescent="0.3"/>
    <row r="1557" hidden="1" x14ac:dyDescent="0.3"/>
    <row r="1558" hidden="1" x14ac:dyDescent="0.3"/>
    <row r="1559" hidden="1" x14ac:dyDescent="0.3"/>
    <row r="1560" hidden="1" x14ac:dyDescent="0.3"/>
    <row r="1561" hidden="1" x14ac:dyDescent="0.3"/>
    <row r="1562" hidden="1" x14ac:dyDescent="0.3"/>
    <row r="1563" hidden="1" x14ac:dyDescent="0.3"/>
    <row r="1564" hidden="1" x14ac:dyDescent="0.3"/>
    <row r="1565" hidden="1" x14ac:dyDescent="0.3"/>
    <row r="1566" hidden="1" x14ac:dyDescent="0.3"/>
    <row r="1567" hidden="1" x14ac:dyDescent="0.3"/>
    <row r="1568" hidden="1" x14ac:dyDescent="0.3"/>
    <row r="1569" hidden="1" x14ac:dyDescent="0.3"/>
    <row r="1570" hidden="1" x14ac:dyDescent="0.3"/>
    <row r="1571" hidden="1" x14ac:dyDescent="0.3"/>
    <row r="1572" hidden="1" x14ac:dyDescent="0.3"/>
    <row r="1573" hidden="1" x14ac:dyDescent="0.3"/>
    <row r="1574" hidden="1" x14ac:dyDescent="0.3"/>
    <row r="1575" hidden="1" x14ac:dyDescent="0.3"/>
    <row r="1576" hidden="1" x14ac:dyDescent="0.3"/>
    <row r="1577" hidden="1" x14ac:dyDescent="0.3"/>
    <row r="1578" hidden="1" x14ac:dyDescent="0.3"/>
    <row r="1579" hidden="1" x14ac:dyDescent="0.3"/>
    <row r="1580" hidden="1" x14ac:dyDescent="0.3"/>
    <row r="1581" hidden="1" x14ac:dyDescent="0.3"/>
    <row r="1582" hidden="1" x14ac:dyDescent="0.3"/>
    <row r="1583" hidden="1" x14ac:dyDescent="0.3"/>
    <row r="1584" hidden="1" x14ac:dyDescent="0.3"/>
    <row r="1585" hidden="1" x14ac:dyDescent="0.3"/>
    <row r="1586" hidden="1" x14ac:dyDescent="0.3"/>
    <row r="1587" hidden="1" x14ac:dyDescent="0.3"/>
    <row r="1588" hidden="1" x14ac:dyDescent="0.3"/>
    <row r="1589" hidden="1" x14ac:dyDescent="0.3"/>
    <row r="1590" hidden="1" x14ac:dyDescent="0.3"/>
    <row r="1591" hidden="1" x14ac:dyDescent="0.3"/>
    <row r="1592" hidden="1" x14ac:dyDescent="0.3"/>
    <row r="1593" hidden="1" x14ac:dyDescent="0.3"/>
    <row r="1594" hidden="1" x14ac:dyDescent="0.3"/>
    <row r="1595" hidden="1" x14ac:dyDescent="0.3"/>
    <row r="1596" hidden="1" x14ac:dyDescent="0.3"/>
    <row r="1597" hidden="1" x14ac:dyDescent="0.3"/>
    <row r="1598" hidden="1" x14ac:dyDescent="0.3"/>
    <row r="1599" hidden="1" x14ac:dyDescent="0.3"/>
    <row r="1600" hidden="1" x14ac:dyDescent="0.3"/>
    <row r="1601" hidden="1" x14ac:dyDescent="0.3"/>
    <row r="1602" hidden="1" x14ac:dyDescent="0.3"/>
    <row r="1603" hidden="1" x14ac:dyDescent="0.3"/>
    <row r="1604" hidden="1" x14ac:dyDescent="0.3"/>
    <row r="1605" hidden="1" x14ac:dyDescent="0.3"/>
    <row r="1606" hidden="1" x14ac:dyDescent="0.3"/>
    <row r="1607" hidden="1" x14ac:dyDescent="0.3"/>
    <row r="1608" hidden="1" x14ac:dyDescent="0.3"/>
    <row r="1609" hidden="1" x14ac:dyDescent="0.3"/>
    <row r="1610" hidden="1" x14ac:dyDescent="0.3"/>
    <row r="1611" hidden="1" x14ac:dyDescent="0.3"/>
    <row r="1612" hidden="1" x14ac:dyDescent="0.3"/>
    <row r="1613" hidden="1" x14ac:dyDescent="0.3"/>
    <row r="1614" hidden="1" x14ac:dyDescent="0.3"/>
    <row r="1615" hidden="1" x14ac:dyDescent="0.3"/>
    <row r="1616" hidden="1" x14ac:dyDescent="0.3"/>
    <row r="1617" hidden="1" x14ac:dyDescent="0.3"/>
    <row r="1618" hidden="1" x14ac:dyDescent="0.3"/>
    <row r="1619" hidden="1" x14ac:dyDescent="0.3"/>
    <row r="1620" hidden="1" x14ac:dyDescent="0.3"/>
    <row r="1621" hidden="1" x14ac:dyDescent="0.3"/>
    <row r="1622" hidden="1" x14ac:dyDescent="0.3"/>
    <row r="1623" hidden="1" x14ac:dyDescent="0.3"/>
    <row r="1624" hidden="1" x14ac:dyDescent="0.3"/>
    <row r="1625" hidden="1" x14ac:dyDescent="0.3"/>
    <row r="1626" hidden="1" x14ac:dyDescent="0.3"/>
    <row r="1627" hidden="1" x14ac:dyDescent="0.3"/>
    <row r="1628" hidden="1" x14ac:dyDescent="0.3"/>
    <row r="1629" hidden="1" x14ac:dyDescent="0.3"/>
    <row r="1630" hidden="1" x14ac:dyDescent="0.3"/>
    <row r="1631" hidden="1" x14ac:dyDescent="0.3"/>
    <row r="1632" hidden="1" x14ac:dyDescent="0.3"/>
    <row r="1633" hidden="1" x14ac:dyDescent="0.3"/>
    <row r="1634" hidden="1" x14ac:dyDescent="0.3"/>
    <row r="1635" hidden="1" x14ac:dyDescent="0.3"/>
    <row r="1636" hidden="1" x14ac:dyDescent="0.3"/>
    <row r="1637" hidden="1" x14ac:dyDescent="0.3"/>
    <row r="1638" hidden="1" x14ac:dyDescent="0.3"/>
    <row r="1639" hidden="1" x14ac:dyDescent="0.3"/>
    <row r="1640" hidden="1" x14ac:dyDescent="0.3"/>
    <row r="1641" hidden="1" x14ac:dyDescent="0.3"/>
    <row r="1642" hidden="1" x14ac:dyDescent="0.3"/>
    <row r="1643" hidden="1" x14ac:dyDescent="0.3"/>
    <row r="1644" hidden="1" x14ac:dyDescent="0.3"/>
    <row r="1645" hidden="1" x14ac:dyDescent="0.3"/>
    <row r="1646" hidden="1" x14ac:dyDescent="0.3"/>
    <row r="1647" hidden="1" x14ac:dyDescent="0.3"/>
    <row r="1648" hidden="1" x14ac:dyDescent="0.3"/>
    <row r="1649" hidden="1" x14ac:dyDescent="0.3"/>
    <row r="1650" hidden="1" x14ac:dyDescent="0.3"/>
    <row r="1651" hidden="1" x14ac:dyDescent="0.3"/>
    <row r="1652" hidden="1" x14ac:dyDescent="0.3"/>
    <row r="1653" hidden="1" x14ac:dyDescent="0.3"/>
    <row r="1654" hidden="1" x14ac:dyDescent="0.3"/>
    <row r="1655" hidden="1" x14ac:dyDescent="0.3"/>
    <row r="1656" hidden="1" x14ac:dyDescent="0.3"/>
    <row r="1657" hidden="1" x14ac:dyDescent="0.3"/>
    <row r="1658" hidden="1" x14ac:dyDescent="0.3"/>
    <row r="1659" hidden="1" x14ac:dyDescent="0.3"/>
    <row r="1660" hidden="1" x14ac:dyDescent="0.3"/>
    <row r="1661" hidden="1" x14ac:dyDescent="0.3"/>
    <row r="1662" hidden="1" x14ac:dyDescent="0.3"/>
    <row r="1663" hidden="1" x14ac:dyDescent="0.3"/>
    <row r="1664" hidden="1" x14ac:dyDescent="0.3"/>
    <row r="1665" hidden="1" x14ac:dyDescent="0.3"/>
    <row r="1666" hidden="1" x14ac:dyDescent="0.3"/>
    <row r="1667" hidden="1" x14ac:dyDescent="0.3"/>
    <row r="1668" hidden="1" x14ac:dyDescent="0.3"/>
    <row r="1669" hidden="1" x14ac:dyDescent="0.3"/>
    <row r="1670" hidden="1" x14ac:dyDescent="0.3"/>
    <row r="1671" hidden="1" x14ac:dyDescent="0.3"/>
    <row r="1672" hidden="1" x14ac:dyDescent="0.3"/>
    <row r="1673" hidden="1" x14ac:dyDescent="0.3"/>
    <row r="1674" hidden="1" x14ac:dyDescent="0.3"/>
    <row r="1675" hidden="1" x14ac:dyDescent="0.3"/>
    <row r="1676" hidden="1" x14ac:dyDescent="0.3"/>
    <row r="1677" hidden="1" x14ac:dyDescent="0.3"/>
    <row r="1678" hidden="1" x14ac:dyDescent="0.3"/>
    <row r="1679" hidden="1" x14ac:dyDescent="0.3"/>
    <row r="1680" hidden="1" x14ac:dyDescent="0.3"/>
    <row r="1681" hidden="1" x14ac:dyDescent="0.3"/>
    <row r="1682" hidden="1" x14ac:dyDescent="0.3"/>
    <row r="1683" hidden="1" x14ac:dyDescent="0.3"/>
    <row r="1684" hidden="1" x14ac:dyDescent="0.3"/>
    <row r="1685" hidden="1" x14ac:dyDescent="0.3"/>
    <row r="1686" hidden="1" x14ac:dyDescent="0.3"/>
    <row r="1687" hidden="1" x14ac:dyDescent="0.3"/>
    <row r="1688" hidden="1" x14ac:dyDescent="0.3"/>
    <row r="1689" hidden="1" x14ac:dyDescent="0.3"/>
    <row r="1690" hidden="1" x14ac:dyDescent="0.3"/>
    <row r="1691" hidden="1" x14ac:dyDescent="0.3"/>
    <row r="1692" hidden="1" x14ac:dyDescent="0.3"/>
    <row r="1693" hidden="1" x14ac:dyDescent="0.3"/>
    <row r="1694" hidden="1" x14ac:dyDescent="0.3"/>
    <row r="1695" hidden="1" x14ac:dyDescent="0.3"/>
    <row r="1696" hidden="1" x14ac:dyDescent="0.3"/>
    <row r="1697" hidden="1" x14ac:dyDescent="0.3"/>
    <row r="1698" hidden="1" x14ac:dyDescent="0.3"/>
    <row r="1699" hidden="1" x14ac:dyDescent="0.3"/>
    <row r="1700" hidden="1" x14ac:dyDescent="0.3"/>
    <row r="1701" hidden="1" x14ac:dyDescent="0.3"/>
    <row r="1702" hidden="1" x14ac:dyDescent="0.3"/>
    <row r="1703" hidden="1" x14ac:dyDescent="0.3"/>
    <row r="1704" hidden="1" x14ac:dyDescent="0.3"/>
    <row r="1705" hidden="1" x14ac:dyDescent="0.3"/>
    <row r="1706" hidden="1" x14ac:dyDescent="0.3"/>
    <row r="1707" hidden="1" x14ac:dyDescent="0.3"/>
    <row r="1708" hidden="1" x14ac:dyDescent="0.3"/>
    <row r="1709" hidden="1" x14ac:dyDescent="0.3"/>
    <row r="1710" hidden="1" x14ac:dyDescent="0.3"/>
    <row r="1711" hidden="1" x14ac:dyDescent="0.3"/>
    <row r="1712" hidden="1" x14ac:dyDescent="0.3"/>
    <row r="1713" hidden="1" x14ac:dyDescent="0.3"/>
    <row r="1714" hidden="1" x14ac:dyDescent="0.3"/>
    <row r="1715" hidden="1" x14ac:dyDescent="0.3"/>
    <row r="1716" hidden="1" x14ac:dyDescent="0.3"/>
    <row r="1717" hidden="1" x14ac:dyDescent="0.3"/>
    <row r="1718" hidden="1" x14ac:dyDescent="0.3"/>
    <row r="1719" hidden="1" x14ac:dyDescent="0.3"/>
    <row r="1720" hidden="1" x14ac:dyDescent="0.3"/>
    <row r="1721" hidden="1" x14ac:dyDescent="0.3"/>
    <row r="1722" hidden="1" x14ac:dyDescent="0.3"/>
    <row r="1723" hidden="1" x14ac:dyDescent="0.3"/>
    <row r="1724" hidden="1" x14ac:dyDescent="0.3"/>
    <row r="1725" hidden="1" x14ac:dyDescent="0.3"/>
    <row r="1726" hidden="1" x14ac:dyDescent="0.3"/>
    <row r="1727" hidden="1" x14ac:dyDescent="0.3"/>
    <row r="1728" hidden="1" x14ac:dyDescent="0.3"/>
    <row r="1729" hidden="1" x14ac:dyDescent="0.3"/>
    <row r="1730" hidden="1" x14ac:dyDescent="0.3"/>
    <row r="1731" hidden="1" x14ac:dyDescent="0.3"/>
    <row r="1732" hidden="1" x14ac:dyDescent="0.3"/>
    <row r="1733" hidden="1" x14ac:dyDescent="0.3"/>
    <row r="1734" hidden="1" x14ac:dyDescent="0.3"/>
    <row r="1735" hidden="1" x14ac:dyDescent="0.3"/>
    <row r="1736" hidden="1" x14ac:dyDescent="0.3"/>
    <row r="1737" hidden="1" x14ac:dyDescent="0.3"/>
    <row r="1738" hidden="1" x14ac:dyDescent="0.3"/>
    <row r="1739" hidden="1" x14ac:dyDescent="0.3"/>
    <row r="1740" hidden="1" x14ac:dyDescent="0.3"/>
    <row r="1741" hidden="1" x14ac:dyDescent="0.3"/>
    <row r="1742" hidden="1" x14ac:dyDescent="0.3"/>
    <row r="1743" hidden="1" x14ac:dyDescent="0.3"/>
    <row r="1744" hidden="1" x14ac:dyDescent="0.3"/>
    <row r="1745" hidden="1" x14ac:dyDescent="0.3"/>
    <row r="1746" hidden="1" x14ac:dyDescent="0.3"/>
    <row r="1747" hidden="1" x14ac:dyDescent="0.3"/>
    <row r="1748" hidden="1" x14ac:dyDescent="0.3"/>
    <row r="1749" hidden="1" x14ac:dyDescent="0.3"/>
    <row r="1750" hidden="1" x14ac:dyDescent="0.3"/>
    <row r="1751" hidden="1" x14ac:dyDescent="0.3"/>
    <row r="1752" hidden="1" x14ac:dyDescent="0.3"/>
    <row r="1753" hidden="1" x14ac:dyDescent="0.3"/>
    <row r="1754" hidden="1" x14ac:dyDescent="0.3"/>
    <row r="1755" hidden="1" x14ac:dyDescent="0.3"/>
    <row r="1756" hidden="1" x14ac:dyDescent="0.3"/>
    <row r="1757" hidden="1" x14ac:dyDescent="0.3"/>
    <row r="1758" hidden="1" x14ac:dyDescent="0.3"/>
    <row r="1759" hidden="1" x14ac:dyDescent="0.3"/>
    <row r="1760" hidden="1" x14ac:dyDescent="0.3"/>
    <row r="1761" hidden="1" x14ac:dyDescent="0.3"/>
    <row r="1762" hidden="1" x14ac:dyDescent="0.3"/>
    <row r="1763" hidden="1" x14ac:dyDescent="0.3"/>
    <row r="1764" hidden="1" x14ac:dyDescent="0.3"/>
    <row r="1765" hidden="1" x14ac:dyDescent="0.3"/>
    <row r="1766" hidden="1" x14ac:dyDescent="0.3"/>
    <row r="1767" hidden="1" x14ac:dyDescent="0.3"/>
    <row r="1768" hidden="1" x14ac:dyDescent="0.3"/>
    <row r="1769" hidden="1" x14ac:dyDescent="0.3"/>
    <row r="1770" hidden="1" x14ac:dyDescent="0.3"/>
    <row r="1771" hidden="1" x14ac:dyDescent="0.3"/>
    <row r="1772" hidden="1" x14ac:dyDescent="0.3"/>
    <row r="1773" hidden="1" x14ac:dyDescent="0.3"/>
    <row r="1774" hidden="1" x14ac:dyDescent="0.3"/>
    <row r="1775" hidden="1" x14ac:dyDescent="0.3"/>
    <row r="1776" hidden="1" x14ac:dyDescent="0.3"/>
    <row r="1777" hidden="1" x14ac:dyDescent="0.3"/>
    <row r="1778" hidden="1" x14ac:dyDescent="0.3"/>
    <row r="1779" hidden="1" x14ac:dyDescent="0.3"/>
    <row r="1780" hidden="1" x14ac:dyDescent="0.3"/>
    <row r="1781" hidden="1" x14ac:dyDescent="0.3"/>
    <row r="1782" hidden="1" x14ac:dyDescent="0.3"/>
    <row r="1783" hidden="1" x14ac:dyDescent="0.3"/>
    <row r="1784" hidden="1" x14ac:dyDescent="0.3"/>
    <row r="1785" hidden="1" x14ac:dyDescent="0.3"/>
    <row r="1786" hidden="1" x14ac:dyDescent="0.3"/>
    <row r="1787" hidden="1" x14ac:dyDescent="0.3"/>
    <row r="1788" hidden="1" x14ac:dyDescent="0.3"/>
    <row r="1789" hidden="1" x14ac:dyDescent="0.3"/>
    <row r="1790" hidden="1" x14ac:dyDescent="0.3"/>
    <row r="1791" hidden="1" x14ac:dyDescent="0.3"/>
    <row r="1792" hidden="1" x14ac:dyDescent="0.3"/>
    <row r="1793" hidden="1" x14ac:dyDescent="0.3"/>
    <row r="1794" hidden="1" x14ac:dyDescent="0.3"/>
    <row r="1795" hidden="1" x14ac:dyDescent="0.3"/>
    <row r="1796" hidden="1" x14ac:dyDescent="0.3"/>
    <row r="1797" hidden="1" x14ac:dyDescent="0.3"/>
    <row r="1798" hidden="1" x14ac:dyDescent="0.3"/>
    <row r="1799" hidden="1" x14ac:dyDescent="0.3"/>
    <row r="1800" hidden="1" x14ac:dyDescent="0.3"/>
    <row r="1801" hidden="1" x14ac:dyDescent="0.3"/>
    <row r="1802" hidden="1" x14ac:dyDescent="0.3"/>
    <row r="1803" hidden="1" x14ac:dyDescent="0.3"/>
    <row r="1804" hidden="1" x14ac:dyDescent="0.3"/>
    <row r="1805" hidden="1" x14ac:dyDescent="0.3"/>
    <row r="1806" hidden="1" x14ac:dyDescent="0.3"/>
    <row r="1807" hidden="1" x14ac:dyDescent="0.3"/>
    <row r="1808" hidden="1" x14ac:dyDescent="0.3"/>
    <row r="1809" hidden="1" x14ac:dyDescent="0.3"/>
    <row r="1810" hidden="1" x14ac:dyDescent="0.3"/>
    <row r="1811" hidden="1" x14ac:dyDescent="0.3"/>
    <row r="1812" hidden="1" x14ac:dyDescent="0.3"/>
    <row r="1813" hidden="1" x14ac:dyDescent="0.3"/>
    <row r="1814" hidden="1" x14ac:dyDescent="0.3"/>
    <row r="1815" hidden="1" x14ac:dyDescent="0.3"/>
    <row r="1816" hidden="1" x14ac:dyDescent="0.3"/>
    <row r="1817" hidden="1" x14ac:dyDescent="0.3"/>
    <row r="1818" hidden="1" x14ac:dyDescent="0.3"/>
    <row r="1819" hidden="1" x14ac:dyDescent="0.3"/>
    <row r="1820" hidden="1" x14ac:dyDescent="0.3"/>
    <row r="1821" hidden="1" x14ac:dyDescent="0.3"/>
    <row r="1822" hidden="1" x14ac:dyDescent="0.3"/>
    <row r="1823" hidden="1" x14ac:dyDescent="0.3"/>
    <row r="1824" hidden="1" x14ac:dyDescent="0.3"/>
    <row r="1825" hidden="1" x14ac:dyDescent="0.3"/>
    <row r="1826" hidden="1" x14ac:dyDescent="0.3"/>
    <row r="1827" hidden="1" x14ac:dyDescent="0.3"/>
    <row r="1828" hidden="1" x14ac:dyDescent="0.3"/>
    <row r="1829" hidden="1" x14ac:dyDescent="0.3"/>
    <row r="1830" hidden="1" x14ac:dyDescent="0.3"/>
    <row r="1831" hidden="1" x14ac:dyDescent="0.3"/>
    <row r="1832" hidden="1" x14ac:dyDescent="0.3"/>
    <row r="1833" hidden="1" x14ac:dyDescent="0.3"/>
    <row r="1834" hidden="1" x14ac:dyDescent="0.3"/>
    <row r="1835" hidden="1" x14ac:dyDescent="0.3"/>
    <row r="1836" hidden="1" x14ac:dyDescent="0.3"/>
    <row r="1837" hidden="1" x14ac:dyDescent="0.3"/>
    <row r="1838" hidden="1" x14ac:dyDescent="0.3"/>
    <row r="1839" hidden="1" x14ac:dyDescent="0.3"/>
    <row r="1840" hidden="1" x14ac:dyDescent="0.3"/>
    <row r="1841" hidden="1" x14ac:dyDescent="0.3"/>
    <row r="1842" hidden="1" x14ac:dyDescent="0.3"/>
    <row r="1843" hidden="1" x14ac:dyDescent="0.3"/>
    <row r="1844" hidden="1" x14ac:dyDescent="0.3"/>
    <row r="1845" hidden="1" x14ac:dyDescent="0.3"/>
    <row r="1846" hidden="1" x14ac:dyDescent="0.3"/>
    <row r="1847" hidden="1" x14ac:dyDescent="0.3"/>
    <row r="1848" hidden="1" x14ac:dyDescent="0.3"/>
    <row r="1849" hidden="1" x14ac:dyDescent="0.3"/>
    <row r="1850" hidden="1" x14ac:dyDescent="0.3"/>
    <row r="1851" hidden="1" x14ac:dyDescent="0.3"/>
    <row r="1852" hidden="1" x14ac:dyDescent="0.3"/>
    <row r="1853" hidden="1" x14ac:dyDescent="0.3"/>
    <row r="1854" hidden="1" x14ac:dyDescent="0.3"/>
    <row r="1855" hidden="1" x14ac:dyDescent="0.3"/>
    <row r="1856" hidden="1" x14ac:dyDescent="0.3"/>
    <row r="1857" hidden="1" x14ac:dyDescent="0.3"/>
    <row r="1858" hidden="1" x14ac:dyDescent="0.3"/>
    <row r="1859" hidden="1" x14ac:dyDescent="0.3"/>
    <row r="1860" hidden="1" x14ac:dyDescent="0.3"/>
    <row r="1861" hidden="1" x14ac:dyDescent="0.3"/>
    <row r="1862" hidden="1" x14ac:dyDescent="0.3"/>
    <row r="1863" hidden="1" x14ac:dyDescent="0.3"/>
    <row r="1864" hidden="1" x14ac:dyDescent="0.3"/>
    <row r="1865" hidden="1" x14ac:dyDescent="0.3"/>
    <row r="1866" hidden="1" x14ac:dyDescent="0.3"/>
    <row r="1867" hidden="1" x14ac:dyDescent="0.3"/>
    <row r="1868" hidden="1" x14ac:dyDescent="0.3"/>
    <row r="1869" hidden="1" x14ac:dyDescent="0.3"/>
    <row r="1870" hidden="1" x14ac:dyDescent="0.3"/>
    <row r="1871" hidden="1" x14ac:dyDescent="0.3"/>
    <row r="1872" hidden="1" x14ac:dyDescent="0.3"/>
    <row r="1873" hidden="1" x14ac:dyDescent="0.3"/>
    <row r="1874" hidden="1" x14ac:dyDescent="0.3"/>
    <row r="1875" hidden="1" x14ac:dyDescent="0.3"/>
    <row r="1876" hidden="1" x14ac:dyDescent="0.3"/>
    <row r="1877" hidden="1" x14ac:dyDescent="0.3"/>
    <row r="1878" hidden="1" x14ac:dyDescent="0.3"/>
    <row r="1879" hidden="1" x14ac:dyDescent="0.3"/>
    <row r="1880" hidden="1" x14ac:dyDescent="0.3"/>
    <row r="1881" hidden="1" x14ac:dyDescent="0.3"/>
    <row r="1882" hidden="1" x14ac:dyDescent="0.3"/>
    <row r="1883" hidden="1" x14ac:dyDescent="0.3"/>
    <row r="1884" hidden="1" x14ac:dyDescent="0.3"/>
    <row r="1885" hidden="1" x14ac:dyDescent="0.3"/>
    <row r="1886" hidden="1" x14ac:dyDescent="0.3"/>
    <row r="1887" hidden="1" x14ac:dyDescent="0.3"/>
    <row r="1888" hidden="1" x14ac:dyDescent="0.3"/>
    <row r="1889" hidden="1" x14ac:dyDescent="0.3"/>
    <row r="1890" hidden="1" x14ac:dyDescent="0.3"/>
    <row r="1891" hidden="1" x14ac:dyDescent="0.3"/>
    <row r="1892" hidden="1" x14ac:dyDescent="0.3"/>
    <row r="1893" hidden="1" x14ac:dyDescent="0.3"/>
    <row r="1894" hidden="1" x14ac:dyDescent="0.3"/>
    <row r="1895" hidden="1" x14ac:dyDescent="0.3"/>
    <row r="1896" hidden="1" x14ac:dyDescent="0.3"/>
    <row r="1897" hidden="1" x14ac:dyDescent="0.3"/>
    <row r="1898" hidden="1" x14ac:dyDescent="0.3"/>
    <row r="1899" hidden="1" x14ac:dyDescent="0.3"/>
    <row r="1900" hidden="1" x14ac:dyDescent="0.3"/>
    <row r="1901" hidden="1" x14ac:dyDescent="0.3"/>
    <row r="1902" hidden="1" x14ac:dyDescent="0.3"/>
    <row r="1903" hidden="1" x14ac:dyDescent="0.3"/>
    <row r="1904" hidden="1" x14ac:dyDescent="0.3"/>
    <row r="1905" hidden="1" x14ac:dyDescent="0.3"/>
    <row r="1906" hidden="1" x14ac:dyDescent="0.3"/>
    <row r="1907" hidden="1" x14ac:dyDescent="0.3"/>
    <row r="1908" hidden="1" x14ac:dyDescent="0.3"/>
    <row r="1909" hidden="1" x14ac:dyDescent="0.3"/>
    <row r="1910" hidden="1" x14ac:dyDescent="0.3"/>
    <row r="1911" hidden="1" x14ac:dyDescent="0.3"/>
    <row r="1912" hidden="1" x14ac:dyDescent="0.3"/>
    <row r="1913" hidden="1" x14ac:dyDescent="0.3"/>
    <row r="1914" hidden="1" x14ac:dyDescent="0.3"/>
    <row r="1915" hidden="1" x14ac:dyDescent="0.3"/>
    <row r="1916" hidden="1" x14ac:dyDescent="0.3"/>
    <row r="1917" hidden="1" x14ac:dyDescent="0.3"/>
    <row r="1918" hidden="1" x14ac:dyDescent="0.3"/>
    <row r="1919" hidden="1" x14ac:dyDescent="0.3"/>
    <row r="1920" hidden="1" x14ac:dyDescent="0.3"/>
    <row r="1921" hidden="1" x14ac:dyDescent="0.3"/>
    <row r="1922" hidden="1" x14ac:dyDescent="0.3"/>
    <row r="1923" hidden="1" x14ac:dyDescent="0.3"/>
    <row r="1924" hidden="1" x14ac:dyDescent="0.3"/>
    <row r="1925" hidden="1" x14ac:dyDescent="0.3"/>
    <row r="1926" hidden="1" x14ac:dyDescent="0.3"/>
    <row r="1927" hidden="1" x14ac:dyDescent="0.3"/>
    <row r="1928" hidden="1" x14ac:dyDescent="0.3"/>
    <row r="1929" hidden="1" x14ac:dyDescent="0.3"/>
    <row r="1930" hidden="1" x14ac:dyDescent="0.3"/>
    <row r="1931" hidden="1" x14ac:dyDescent="0.3"/>
    <row r="1932" hidden="1" x14ac:dyDescent="0.3"/>
    <row r="1933" hidden="1" x14ac:dyDescent="0.3"/>
    <row r="1934" hidden="1" x14ac:dyDescent="0.3"/>
    <row r="1935" hidden="1" x14ac:dyDescent="0.3"/>
    <row r="1936" hidden="1" x14ac:dyDescent="0.3"/>
    <row r="1937" hidden="1" x14ac:dyDescent="0.3"/>
    <row r="1938" hidden="1" x14ac:dyDescent="0.3"/>
    <row r="1939" hidden="1" x14ac:dyDescent="0.3"/>
    <row r="1940" hidden="1" x14ac:dyDescent="0.3"/>
    <row r="1941" hidden="1" x14ac:dyDescent="0.3"/>
    <row r="1942" hidden="1" x14ac:dyDescent="0.3"/>
    <row r="1943" hidden="1" x14ac:dyDescent="0.3"/>
    <row r="1944" hidden="1" x14ac:dyDescent="0.3"/>
    <row r="1945" hidden="1" x14ac:dyDescent="0.3"/>
    <row r="1946" hidden="1" x14ac:dyDescent="0.3"/>
    <row r="1947" hidden="1" x14ac:dyDescent="0.3"/>
    <row r="1948" hidden="1" x14ac:dyDescent="0.3"/>
    <row r="1949" hidden="1" x14ac:dyDescent="0.3"/>
    <row r="1950" hidden="1" x14ac:dyDescent="0.3"/>
    <row r="1951" hidden="1" x14ac:dyDescent="0.3"/>
    <row r="1952" hidden="1" x14ac:dyDescent="0.3"/>
    <row r="1953" hidden="1" x14ac:dyDescent="0.3"/>
    <row r="1954" hidden="1" x14ac:dyDescent="0.3"/>
    <row r="1955" hidden="1" x14ac:dyDescent="0.3"/>
    <row r="1956" hidden="1" x14ac:dyDescent="0.3"/>
    <row r="1957" hidden="1" x14ac:dyDescent="0.3"/>
    <row r="1958" hidden="1" x14ac:dyDescent="0.3"/>
    <row r="1959" hidden="1" x14ac:dyDescent="0.3"/>
    <row r="1960" hidden="1" x14ac:dyDescent="0.3"/>
    <row r="1961" hidden="1" x14ac:dyDescent="0.3"/>
    <row r="1962" hidden="1" x14ac:dyDescent="0.3"/>
    <row r="1963" hidden="1" x14ac:dyDescent="0.3"/>
    <row r="1964" hidden="1" x14ac:dyDescent="0.3"/>
    <row r="1965" hidden="1" x14ac:dyDescent="0.3"/>
    <row r="1966" hidden="1" x14ac:dyDescent="0.3"/>
    <row r="1967" hidden="1" x14ac:dyDescent="0.3"/>
    <row r="1968" hidden="1" x14ac:dyDescent="0.3"/>
    <row r="1969" hidden="1" x14ac:dyDescent="0.3"/>
    <row r="1970" hidden="1" x14ac:dyDescent="0.3"/>
    <row r="1971" hidden="1" x14ac:dyDescent="0.3"/>
    <row r="1972" hidden="1" x14ac:dyDescent="0.3"/>
    <row r="1973" hidden="1" x14ac:dyDescent="0.3"/>
    <row r="1974" hidden="1" x14ac:dyDescent="0.3"/>
    <row r="1975" hidden="1" x14ac:dyDescent="0.3"/>
    <row r="1976" hidden="1" x14ac:dyDescent="0.3"/>
    <row r="1977" hidden="1" x14ac:dyDescent="0.3"/>
    <row r="1978" hidden="1" x14ac:dyDescent="0.3"/>
    <row r="1979" hidden="1" x14ac:dyDescent="0.3"/>
    <row r="1980" hidden="1" x14ac:dyDescent="0.3"/>
    <row r="1981" hidden="1" x14ac:dyDescent="0.3"/>
    <row r="1982" hidden="1" x14ac:dyDescent="0.3"/>
    <row r="1983" hidden="1" x14ac:dyDescent="0.3"/>
    <row r="1984" hidden="1" x14ac:dyDescent="0.3"/>
    <row r="1985" hidden="1" x14ac:dyDescent="0.3"/>
    <row r="1986" hidden="1" x14ac:dyDescent="0.3"/>
    <row r="1987" hidden="1" x14ac:dyDescent="0.3"/>
    <row r="1988" hidden="1" x14ac:dyDescent="0.3"/>
    <row r="1989" hidden="1" x14ac:dyDescent="0.3"/>
    <row r="1990" hidden="1" x14ac:dyDescent="0.3"/>
    <row r="1991" hidden="1" x14ac:dyDescent="0.3"/>
    <row r="1992" hidden="1" x14ac:dyDescent="0.3"/>
    <row r="1993" hidden="1" x14ac:dyDescent="0.3"/>
    <row r="1994" hidden="1" x14ac:dyDescent="0.3"/>
    <row r="1995" hidden="1" x14ac:dyDescent="0.3"/>
    <row r="1996" hidden="1" x14ac:dyDescent="0.3"/>
    <row r="1997" hidden="1" x14ac:dyDescent="0.3"/>
    <row r="1998" hidden="1" x14ac:dyDescent="0.3"/>
    <row r="1999" hidden="1" x14ac:dyDescent="0.3"/>
    <row r="2000" hidden="1" x14ac:dyDescent="0.3"/>
    <row r="2001" hidden="1" x14ac:dyDescent="0.3"/>
    <row r="2002" hidden="1" x14ac:dyDescent="0.3"/>
    <row r="2003" hidden="1" x14ac:dyDescent="0.3"/>
    <row r="2004" hidden="1" x14ac:dyDescent="0.3"/>
    <row r="2005" hidden="1" x14ac:dyDescent="0.3"/>
    <row r="2006" hidden="1" x14ac:dyDescent="0.3"/>
    <row r="2007" hidden="1" x14ac:dyDescent="0.3"/>
    <row r="2008" hidden="1" x14ac:dyDescent="0.3"/>
    <row r="2009" hidden="1" x14ac:dyDescent="0.3"/>
    <row r="2010" hidden="1" x14ac:dyDescent="0.3"/>
    <row r="2011" hidden="1" x14ac:dyDescent="0.3"/>
    <row r="2012" hidden="1" x14ac:dyDescent="0.3"/>
    <row r="2013" hidden="1" x14ac:dyDescent="0.3"/>
    <row r="2014" hidden="1" x14ac:dyDescent="0.3"/>
    <row r="2015" hidden="1" x14ac:dyDescent="0.3"/>
    <row r="2016" hidden="1" x14ac:dyDescent="0.3"/>
    <row r="2017" hidden="1" x14ac:dyDescent="0.3"/>
    <row r="2018" hidden="1" x14ac:dyDescent="0.3"/>
    <row r="2019" hidden="1" x14ac:dyDescent="0.3"/>
    <row r="2020" hidden="1" x14ac:dyDescent="0.3"/>
    <row r="2021" hidden="1" x14ac:dyDescent="0.3"/>
    <row r="2022" hidden="1" x14ac:dyDescent="0.3"/>
    <row r="2023" hidden="1" x14ac:dyDescent="0.3"/>
    <row r="2024" hidden="1" x14ac:dyDescent="0.3"/>
    <row r="2025" hidden="1" x14ac:dyDescent="0.3"/>
    <row r="2026" hidden="1" x14ac:dyDescent="0.3"/>
    <row r="2027" hidden="1" x14ac:dyDescent="0.3"/>
    <row r="2028" hidden="1" x14ac:dyDescent="0.3"/>
    <row r="2029" hidden="1" x14ac:dyDescent="0.3"/>
    <row r="2030" hidden="1" x14ac:dyDescent="0.3"/>
    <row r="2031" hidden="1" x14ac:dyDescent="0.3"/>
    <row r="2032" hidden="1" x14ac:dyDescent="0.3"/>
    <row r="2033" hidden="1" x14ac:dyDescent="0.3"/>
    <row r="2034" hidden="1" x14ac:dyDescent="0.3"/>
    <row r="2035" hidden="1" x14ac:dyDescent="0.3"/>
    <row r="2036" hidden="1" x14ac:dyDescent="0.3"/>
    <row r="2037" hidden="1" x14ac:dyDescent="0.3"/>
    <row r="2038" hidden="1" x14ac:dyDescent="0.3"/>
    <row r="2039" hidden="1" x14ac:dyDescent="0.3"/>
    <row r="2040" hidden="1" x14ac:dyDescent="0.3"/>
    <row r="2041" hidden="1" x14ac:dyDescent="0.3"/>
    <row r="2042" hidden="1" x14ac:dyDescent="0.3"/>
    <row r="2043" hidden="1" x14ac:dyDescent="0.3"/>
    <row r="2044" hidden="1" x14ac:dyDescent="0.3"/>
    <row r="2045" hidden="1" x14ac:dyDescent="0.3"/>
    <row r="2046" hidden="1" x14ac:dyDescent="0.3"/>
    <row r="2047" hidden="1" x14ac:dyDescent="0.3"/>
    <row r="2048" hidden="1" x14ac:dyDescent="0.3"/>
    <row r="2049" hidden="1" x14ac:dyDescent="0.3"/>
    <row r="2050" hidden="1" x14ac:dyDescent="0.3"/>
    <row r="2051" hidden="1" x14ac:dyDescent="0.3"/>
    <row r="2052" hidden="1" x14ac:dyDescent="0.3"/>
    <row r="2053" hidden="1" x14ac:dyDescent="0.3"/>
    <row r="2054" hidden="1" x14ac:dyDescent="0.3"/>
    <row r="2055" hidden="1" x14ac:dyDescent="0.3"/>
    <row r="2056" hidden="1" x14ac:dyDescent="0.3"/>
    <row r="2057" hidden="1" x14ac:dyDescent="0.3"/>
    <row r="2058" hidden="1" x14ac:dyDescent="0.3"/>
    <row r="2059" hidden="1" x14ac:dyDescent="0.3"/>
    <row r="2060" hidden="1" x14ac:dyDescent="0.3"/>
    <row r="2061" hidden="1" x14ac:dyDescent="0.3"/>
    <row r="2062" hidden="1" x14ac:dyDescent="0.3"/>
    <row r="2063" hidden="1" x14ac:dyDescent="0.3"/>
    <row r="2064" hidden="1" x14ac:dyDescent="0.3"/>
    <row r="2065" hidden="1" x14ac:dyDescent="0.3"/>
    <row r="2066" hidden="1" x14ac:dyDescent="0.3"/>
    <row r="2067" hidden="1" x14ac:dyDescent="0.3"/>
    <row r="2068" hidden="1" x14ac:dyDescent="0.3"/>
    <row r="2069" hidden="1" x14ac:dyDescent="0.3"/>
    <row r="2070" hidden="1" x14ac:dyDescent="0.3"/>
    <row r="2071" hidden="1" x14ac:dyDescent="0.3"/>
    <row r="2072" hidden="1" x14ac:dyDescent="0.3"/>
    <row r="2073" hidden="1" x14ac:dyDescent="0.3"/>
    <row r="2074" hidden="1" x14ac:dyDescent="0.3"/>
    <row r="2075" hidden="1" x14ac:dyDescent="0.3"/>
    <row r="2076" hidden="1" x14ac:dyDescent="0.3"/>
    <row r="2077" hidden="1" x14ac:dyDescent="0.3"/>
    <row r="2078" hidden="1" x14ac:dyDescent="0.3"/>
    <row r="2079" hidden="1" x14ac:dyDescent="0.3"/>
    <row r="2080" hidden="1" x14ac:dyDescent="0.3"/>
    <row r="2081" hidden="1" x14ac:dyDescent="0.3"/>
    <row r="2082" hidden="1" x14ac:dyDescent="0.3"/>
    <row r="2083" hidden="1" x14ac:dyDescent="0.3"/>
    <row r="2084" hidden="1" x14ac:dyDescent="0.3"/>
    <row r="2085" hidden="1" x14ac:dyDescent="0.3"/>
    <row r="2086" hidden="1" x14ac:dyDescent="0.3"/>
    <row r="2087" hidden="1" x14ac:dyDescent="0.3"/>
    <row r="2088" hidden="1" x14ac:dyDescent="0.3"/>
    <row r="2089" hidden="1" x14ac:dyDescent="0.3"/>
    <row r="2090" hidden="1" x14ac:dyDescent="0.3"/>
    <row r="2091" hidden="1" x14ac:dyDescent="0.3"/>
    <row r="2092" hidden="1" x14ac:dyDescent="0.3"/>
    <row r="2093" hidden="1" x14ac:dyDescent="0.3"/>
    <row r="2094" hidden="1" x14ac:dyDescent="0.3"/>
    <row r="2095" hidden="1" x14ac:dyDescent="0.3"/>
    <row r="2096" hidden="1" x14ac:dyDescent="0.3"/>
    <row r="2097" hidden="1" x14ac:dyDescent="0.3"/>
    <row r="2098" hidden="1" x14ac:dyDescent="0.3"/>
    <row r="2099" hidden="1" x14ac:dyDescent="0.3"/>
    <row r="2100" hidden="1" x14ac:dyDescent="0.3"/>
    <row r="2101" hidden="1" x14ac:dyDescent="0.3"/>
    <row r="2102" hidden="1" x14ac:dyDescent="0.3"/>
    <row r="2103" hidden="1" x14ac:dyDescent="0.3"/>
    <row r="2104" hidden="1" x14ac:dyDescent="0.3"/>
    <row r="2105" hidden="1" x14ac:dyDescent="0.3"/>
    <row r="2106" hidden="1" x14ac:dyDescent="0.3"/>
    <row r="2107" hidden="1" x14ac:dyDescent="0.3"/>
    <row r="2108" hidden="1" x14ac:dyDescent="0.3"/>
    <row r="2109" hidden="1" x14ac:dyDescent="0.3"/>
    <row r="2110" hidden="1" x14ac:dyDescent="0.3"/>
    <row r="2111" hidden="1" x14ac:dyDescent="0.3"/>
    <row r="2112" hidden="1" x14ac:dyDescent="0.3"/>
    <row r="2113" hidden="1" x14ac:dyDescent="0.3"/>
    <row r="2114" hidden="1" x14ac:dyDescent="0.3"/>
    <row r="2115" hidden="1" x14ac:dyDescent="0.3"/>
    <row r="2116" hidden="1" x14ac:dyDescent="0.3"/>
    <row r="2117" hidden="1" x14ac:dyDescent="0.3"/>
    <row r="2118" hidden="1" x14ac:dyDescent="0.3"/>
    <row r="2119" hidden="1" x14ac:dyDescent="0.3"/>
    <row r="2120" hidden="1" x14ac:dyDescent="0.3"/>
    <row r="2121" hidden="1" x14ac:dyDescent="0.3"/>
    <row r="2122" hidden="1" x14ac:dyDescent="0.3"/>
    <row r="2123" hidden="1" x14ac:dyDescent="0.3"/>
    <row r="2124" hidden="1" x14ac:dyDescent="0.3"/>
    <row r="2125" hidden="1" x14ac:dyDescent="0.3"/>
    <row r="2126" hidden="1" x14ac:dyDescent="0.3"/>
    <row r="2127" hidden="1" x14ac:dyDescent="0.3"/>
    <row r="2128" hidden="1" x14ac:dyDescent="0.3"/>
    <row r="2129" hidden="1" x14ac:dyDescent="0.3"/>
    <row r="2130" hidden="1" x14ac:dyDescent="0.3"/>
    <row r="2131" hidden="1" x14ac:dyDescent="0.3"/>
    <row r="2132" hidden="1" x14ac:dyDescent="0.3"/>
    <row r="2133" hidden="1" x14ac:dyDescent="0.3"/>
    <row r="2134" hidden="1" x14ac:dyDescent="0.3"/>
    <row r="2135" hidden="1" x14ac:dyDescent="0.3"/>
    <row r="2136" hidden="1" x14ac:dyDescent="0.3"/>
    <row r="2137" hidden="1" x14ac:dyDescent="0.3"/>
    <row r="2138" hidden="1" x14ac:dyDescent="0.3"/>
    <row r="2139" hidden="1" x14ac:dyDescent="0.3"/>
    <row r="2140" hidden="1" x14ac:dyDescent="0.3"/>
    <row r="2141" hidden="1" x14ac:dyDescent="0.3"/>
    <row r="2142" hidden="1" x14ac:dyDescent="0.3"/>
    <row r="2143" hidden="1" x14ac:dyDescent="0.3"/>
    <row r="2144" hidden="1" x14ac:dyDescent="0.3"/>
    <row r="2145" hidden="1" x14ac:dyDescent="0.3"/>
    <row r="2146" hidden="1" x14ac:dyDescent="0.3"/>
    <row r="2147" hidden="1" x14ac:dyDescent="0.3"/>
    <row r="2148" hidden="1" x14ac:dyDescent="0.3"/>
    <row r="2149" hidden="1" x14ac:dyDescent="0.3"/>
    <row r="2150" hidden="1" x14ac:dyDescent="0.3"/>
    <row r="2151" hidden="1" x14ac:dyDescent="0.3"/>
    <row r="2152" hidden="1" x14ac:dyDescent="0.3"/>
    <row r="2153" hidden="1" x14ac:dyDescent="0.3"/>
    <row r="2154" hidden="1" x14ac:dyDescent="0.3"/>
    <row r="2155" hidden="1" x14ac:dyDescent="0.3"/>
    <row r="2156" hidden="1" x14ac:dyDescent="0.3"/>
    <row r="2157" hidden="1" x14ac:dyDescent="0.3"/>
    <row r="2158" hidden="1" x14ac:dyDescent="0.3"/>
    <row r="2159" hidden="1" x14ac:dyDescent="0.3"/>
    <row r="2160" hidden="1" x14ac:dyDescent="0.3"/>
    <row r="2161" hidden="1" x14ac:dyDescent="0.3"/>
    <row r="2162" hidden="1" x14ac:dyDescent="0.3"/>
    <row r="2163" hidden="1" x14ac:dyDescent="0.3"/>
    <row r="2164" hidden="1" x14ac:dyDescent="0.3"/>
    <row r="2165" hidden="1" x14ac:dyDescent="0.3"/>
    <row r="2166" hidden="1" x14ac:dyDescent="0.3"/>
    <row r="2167" hidden="1" x14ac:dyDescent="0.3"/>
    <row r="2168" hidden="1" x14ac:dyDescent="0.3"/>
    <row r="2169" hidden="1" x14ac:dyDescent="0.3"/>
    <row r="2170" hidden="1" x14ac:dyDescent="0.3"/>
    <row r="2171" hidden="1" x14ac:dyDescent="0.3"/>
    <row r="2172" hidden="1" x14ac:dyDescent="0.3"/>
    <row r="2173" hidden="1" x14ac:dyDescent="0.3"/>
    <row r="2174" hidden="1" x14ac:dyDescent="0.3"/>
    <row r="2175" hidden="1" x14ac:dyDescent="0.3"/>
    <row r="2176" hidden="1" x14ac:dyDescent="0.3"/>
    <row r="2177" hidden="1" x14ac:dyDescent="0.3"/>
    <row r="2178" hidden="1" x14ac:dyDescent="0.3"/>
    <row r="2179" hidden="1" x14ac:dyDescent="0.3"/>
    <row r="2180" hidden="1" x14ac:dyDescent="0.3"/>
    <row r="2181" hidden="1" x14ac:dyDescent="0.3"/>
    <row r="2182" hidden="1" x14ac:dyDescent="0.3"/>
    <row r="2183" hidden="1" x14ac:dyDescent="0.3"/>
    <row r="2184" hidden="1" x14ac:dyDescent="0.3"/>
    <row r="2185" hidden="1" x14ac:dyDescent="0.3"/>
    <row r="2186" hidden="1" x14ac:dyDescent="0.3"/>
    <row r="2187" hidden="1" x14ac:dyDescent="0.3"/>
    <row r="2188" hidden="1" x14ac:dyDescent="0.3"/>
    <row r="2189" hidden="1" x14ac:dyDescent="0.3"/>
    <row r="2190" hidden="1" x14ac:dyDescent="0.3"/>
    <row r="2191" hidden="1" x14ac:dyDescent="0.3"/>
    <row r="2192" hidden="1" x14ac:dyDescent="0.3"/>
    <row r="2193" hidden="1" x14ac:dyDescent="0.3"/>
    <row r="2194" hidden="1" x14ac:dyDescent="0.3"/>
    <row r="2195" hidden="1" x14ac:dyDescent="0.3"/>
    <row r="2196" hidden="1" x14ac:dyDescent="0.3"/>
    <row r="2197" hidden="1" x14ac:dyDescent="0.3"/>
    <row r="2198" hidden="1" x14ac:dyDescent="0.3"/>
    <row r="2199" hidden="1" x14ac:dyDescent="0.3"/>
    <row r="2200" hidden="1" x14ac:dyDescent="0.3"/>
    <row r="2201" hidden="1" x14ac:dyDescent="0.3"/>
    <row r="2202" hidden="1" x14ac:dyDescent="0.3"/>
    <row r="2203" hidden="1" x14ac:dyDescent="0.3"/>
    <row r="2204" hidden="1" x14ac:dyDescent="0.3"/>
    <row r="2205" hidden="1" x14ac:dyDescent="0.3"/>
    <row r="2206" hidden="1" x14ac:dyDescent="0.3"/>
    <row r="2207" hidden="1" x14ac:dyDescent="0.3"/>
    <row r="2208" hidden="1" x14ac:dyDescent="0.3"/>
    <row r="2209" hidden="1" x14ac:dyDescent="0.3"/>
    <row r="2210" hidden="1" x14ac:dyDescent="0.3"/>
    <row r="2211" hidden="1" x14ac:dyDescent="0.3"/>
    <row r="2212" hidden="1" x14ac:dyDescent="0.3"/>
    <row r="2213" hidden="1" x14ac:dyDescent="0.3"/>
    <row r="2214" hidden="1" x14ac:dyDescent="0.3"/>
    <row r="2215" hidden="1" x14ac:dyDescent="0.3"/>
    <row r="2216" hidden="1" x14ac:dyDescent="0.3"/>
    <row r="2217" hidden="1" x14ac:dyDescent="0.3"/>
    <row r="2218" hidden="1" x14ac:dyDescent="0.3"/>
    <row r="2219" hidden="1" x14ac:dyDescent="0.3"/>
    <row r="2220" hidden="1" x14ac:dyDescent="0.3"/>
    <row r="2221" hidden="1" x14ac:dyDescent="0.3"/>
    <row r="2222" hidden="1" x14ac:dyDescent="0.3"/>
    <row r="2223" hidden="1" x14ac:dyDescent="0.3"/>
    <row r="2224" hidden="1" x14ac:dyDescent="0.3"/>
    <row r="2225" hidden="1" x14ac:dyDescent="0.3"/>
    <row r="2226" hidden="1" x14ac:dyDescent="0.3"/>
    <row r="2227" hidden="1" x14ac:dyDescent="0.3"/>
    <row r="2228" hidden="1" x14ac:dyDescent="0.3"/>
    <row r="2229" hidden="1" x14ac:dyDescent="0.3"/>
    <row r="2230" hidden="1" x14ac:dyDescent="0.3"/>
    <row r="2231" hidden="1" x14ac:dyDescent="0.3"/>
    <row r="2232" hidden="1" x14ac:dyDescent="0.3"/>
    <row r="2233" hidden="1" x14ac:dyDescent="0.3"/>
    <row r="2234" hidden="1" x14ac:dyDescent="0.3"/>
    <row r="2235" hidden="1" x14ac:dyDescent="0.3"/>
    <row r="2236" hidden="1" x14ac:dyDescent="0.3"/>
    <row r="2237" hidden="1" x14ac:dyDescent="0.3"/>
    <row r="2238" hidden="1" x14ac:dyDescent="0.3"/>
    <row r="2239" hidden="1" x14ac:dyDescent="0.3"/>
    <row r="2240" hidden="1" x14ac:dyDescent="0.3"/>
    <row r="2241" hidden="1" x14ac:dyDescent="0.3"/>
    <row r="2242" hidden="1" x14ac:dyDescent="0.3"/>
    <row r="2243" hidden="1" x14ac:dyDescent="0.3"/>
    <row r="2244" hidden="1" x14ac:dyDescent="0.3"/>
    <row r="2245" hidden="1" x14ac:dyDescent="0.3"/>
    <row r="2246" hidden="1" x14ac:dyDescent="0.3"/>
    <row r="2247" hidden="1" x14ac:dyDescent="0.3"/>
    <row r="2248" hidden="1" x14ac:dyDescent="0.3"/>
    <row r="2249" hidden="1" x14ac:dyDescent="0.3"/>
    <row r="2250" hidden="1" x14ac:dyDescent="0.3"/>
    <row r="2251" hidden="1" x14ac:dyDescent="0.3"/>
    <row r="2252" hidden="1" x14ac:dyDescent="0.3"/>
    <row r="2253" hidden="1" x14ac:dyDescent="0.3"/>
    <row r="2254" hidden="1" x14ac:dyDescent="0.3"/>
    <row r="2255" hidden="1" x14ac:dyDescent="0.3"/>
    <row r="2256" hidden="1" x14ac:dyDescent="0.3"/>
    <row r="2257" hidden="1" x14ac:dyDescent="0.3"/>
    <row r="2258" hidden="1" x14ac:dyDescent="0.3"/>
    <row r="2259" hidden="1" x14ac:dyDescent="0.3"/>
    <row r="2260" hidden="1" x14ac:dyDescent="0.3"/>
    <row r="2261" hidden="1" x14ac:dyDescent="0.3"/>
    <row r="2262" hidden="1" x14ac:dyDescent="0.3"/>
    <row r="2263" hidden="1" x14ac:dyDescent="0.3"/>
    <row r="2264" hidden="1" x14ac:dyDescent="0.3"/>
    <row r="2265" hidden="1" x14ac:dyDescent="0.3"/>
    <row r="2266" hidden="1" x14ac:dyDescent="0.3"/>
    <row r="2267" hidden="1" x14ac:dyDescent="0.3"/>
    <row r="2268" hidden="1" x14ac:dyDescent="0.3"/>
    <row r="2269" hidden="1" x14ac:dyDescent="0.3"/>
    <row r="2270" hidden="1" x14ac:dyDescent="0.3"/>
    <row r="2271" hidden="1" x14ac:dyDescent="0.3"/>
    <row r="2272" hidden="1" x14ac:dyDescent="0.3"/>
    <row r="2273" hidden="1" x14ac:dyDescent="0.3"/>
    <row r="2274" hidden="1" x14ac:dyDescent="0.3"/>
    <row r="2275" hidden="1" x14ac:dyDescent="0.3"/>
    <row r="2276" hidden="1" x14ac:dyDescent="0.3"/>
    <row r="2277" hidden="1" x14ac:dyDescent="0.3"/>
    <row r="2278" hidden="1" x14ac:dyDescent="0.3"/>
    <row r="2279" hidden="1" x14ac:dyDescent="0.3"/>
    <row r="2280" hidden="1" x14ac:dyDescent="0.3"/>
    <row r="2281" hidden="1" x14ac:dyDescent="0.3"/>
    <row r="2282" hidden="1" x14ac:dyDescent="0.3"/>
    <row r="2283" hidden="1" x14ac:dyDescent="0.3"/>
    <row r="2284" hidden="1" x14ac:dyDescent="0.3"/>
    <row r="2285" hidden="1" x14ac:dyDescent="0.3"/>
    <row r="2286" hidden="1" x14ac:dyDescent="0.3"/>
    <row r="2287" hidden="1" x14ac:dyDescent="0.3"/>
    <row r="2288" hidden="1" x14ac:dyDescent="0.3"/>
    <row r="2289" hidden="1" x14ac:dyDescent="0.3"/>
    <row r="2290" hidden="1" x14ac:dyDescent="0.3"/>
    <row r="2291" hidden="1" x14ac:dyDescent="0.3"/>
    <row r="2292" hidden="1" x14ac:dyDescent="0.3"/>
    <row r="2293" hidden="1" x14ac:dyDescent="0.3"/>
    <row r="2294" hidden="1" x14ac:dyDescent="0.3"/>
    <row r="2295" hidden="1" x14ac:dyDescent="0.3"/>
    <row r="2296" hidden="1" x14ac:dyDescent="0.3"/>
    <row r="2297" hidden="1" x14ac:dyDescent="0.3"/>
    <row r="2298" hidden="1" x14ac:dyDescent="0.3"/>
    <row r="2299" hidden="1" x14ac:dyDescent="0.3"/>
    <row r="2300" hidden="1" x14ac:dyDescent="0.3"/>
    <row r="2301" hidden="1" x14ac:dyDescent="0.3"/>
    <row r="2302" hidden="1" x14ac:dyDescent="0.3"/>
    <row r="2303" hidden="1" x14ac:dyDescent="0.3"/>
    <row r="2304" hidden="1" x14ac:dyDescent="0.3"/>
    <row r="2305" hidden="1" x14ac:dyDescent="0.3"/>
    <row r="2306" hidden="1" x14ac:dyDescent="0.3"/>
    <row r="2307" hidden="1" x14ac:dyDescent="0.3"/>
    <row r="2308" hidden="1" x14ac:dyDescent="0.3"/>
    <row r="2309" hidden="1" x14ac:dyDescent="0.3"/>
    <row r="2310" hidden="1" x14ac:dyDescent="0.3"/>
    <row r="2311" hidden="1" x14ac:dyDescent="0.3"/>
    <row r="2312" hidden="1" x14ac:dyDescent="0.3"/>
    <row r="2313" hidden="1" x14ac:dyDescent="0.3"/>
    <row r="2314" hidden="1" x14ac:dyDescent="0.3"/>
    <row r="2315" hidden="1" x14ac:dyDescent="0.3"/>
    <row r="2316" hidden="1" x14ac:dyDescent="0.3"/>
    <row r="2317" hidden="1" x14ac:dyDescent="0.3"/>
    <row r="2318" hidden="1" x14ac:dyDescent="0.3"/>
    <row r="2319" hidden="1" x14ac:dyDescent="0.3"/>
    <row r="2320" hidden="1" x14ac:dyDescent="0.3"/>
    <row r="2321" hidden="1" x14ac:dyDescent="0.3"/>
    <row r="2322" hidden="1" x14ac:dyDescent="0.3"/>
    <row r="2323" hidden="1" x14ac:dyDescent="0.3"/>
    <row r="2324" hidden="1" x14ac:dyDescent="0.3"/>
    <row r="2325" hidden="1" x14ac:dyDescent="0.3"/>
    <row r="2326" hidden="1" x14ac:dyDescent="0.3"/>
    <row r="2327" hidden="1" x14ac:dyDescent="0.3"/>
    <row r="2328" hidden="1" x14ac:dyDescent="0.3"/>
    <row r="2329" hidden="1" x14ac:dyDescent="0.3"/>
    <row r="2330" hidden="1" x14ac:dyDescent="0.3"/>
    <row r="2331" hidden="1" x14ac:dyDescent="0.3"/>
    <row r="2332" hidden="1" x14ac:dyDescent="0.3"/>
    <row r="2333" hidden="1" x14ac:dyDescent="0.3"/>
    <row r="2334" hidden="1" x14ac:dyDescent="0.3"/>
    <row r="2335" hidden="1" x14ac:dyDescent="0.3"/>
    <row r="2336" hidden="1" x14ac:dyDescent="0.3"/>
    <row r="2337" hidden="1" x14ac:dyDescent="0.3"/>
    <row r="2338" hidden="1" x14ac:dyDescent="0.3"/>
    <row r="2339" hidden="1" x14ac:dyDescent="0.3"/>
    <row r="2340" hidden="1" x14ac:dyDescent="0.3"/>
    <row r="2341" hidden="1" x14ac:dyDescent="0.3"/>
    <row r="2342" hidden="1" x14ac:dyDescent="0.3"/>
    <row r="2343" hidden="1" x14ac:dyDescent="0.3"/>
    <row r="2344" hidden="1" x14ac:dyDescent="0.3"/>
    <row r="2345" hidden="1" x14ac:dyDescent="0.3"/>
    <row r="2346" hidden="1" x14ac:dyDescent="0.3"/>
    <row r="2347" hidden="1" x14ac:dyDescent="0.3"/>
    <row r="2348" hidden="1" x14ac:dyDescent="0.3"/>
    <row r="2349" hidden="1" x14ac:dyDescent="0.3"/>
    <row r="2350" hidden="1" x14ac:dyDescent="0.3"/>
    <row r="2351" hidden="1" x14ac:dyDescent="0.3"/>
    <row r="2352" hidden="1" x14ac:dyDescent="0.3"/>
    <row r="2353" hidden="1" x14ac:dyDescent="0.3"/>
    <row r="2354" hidden="1" x14ac:dyDescent="0.3"/>
    <row r="2355" hidden="1" x14ac:dyDescent="0.3"/>
    <row r="2356" hidden="1" x14ac:dyDescent="0.3"/>
    <row r="2357" hidden="1" x14ac:dyDescent="0.3"/>
    <row r="2358" hidden="1" x14ac:dyDescent="0.3"/>
    <row r="2359" hidden="1" x14ac:dyDescent="0.3"/>
    <row r="2360" hidden="1" x14ac:dyDescent="0.3"/>
    <row r="2361" hidden="1" x14ac:dyDescent="0.3"/>
    <row r="2362" hidden="1" x14ac:dyDescent="0.3"/>
    <row r="2363" hidden="1" x14ac:dyDescent="0.3"/>
    <row r="2364" hidden="1" x14ac:dyDescent="0.3"/>
    <row r="2365" hidden="1" x14ac:dyDescent="0.3"/>
    <row r="2366" hidden="1" x14ac:dyDescent="0.3"/>
    <row r="2367" hidden="1" x14ac:dyDescent="0.3"/>
    <row r="2368" hidden="1" x14ac:dyDescent="0.3"/>
    <row r="2369" hidden="1" x14ac:dyDescent="0.3"/>
    <row r="2370" hidden="1" x14ac:dyDescent="0.3"/>
    <row r="2371" hidden="1" x14ac:dyDescent="0.3"/>
    <row r="2372" hidden="1" x14ac:dyDescent="0.3"/>
    <row r="2373" hidden="1" x14ac:dyDescent="0.3"/>
    <row r="2374" hidden="1" x14ac:dyDescent="0.3"/>
    <row r="2375" hidden="1" x14ac:dyDescent="0.3"/>
    <row r="2376" hidden="1" x14ac:dyDescent="0.3"/>
    <row r="2377" hidden="1" x14ac:dyDescent="0.3"/>
    <row r="2378" hidden="1" x14ac:dyDescent="0.3"/>
    <row r="2379" hidden="1" x14ac:dyDescent="0.3"/>
    <row r="2380" hidden="1" x14ac:dyDescent="0.3"/>
    <row r="2381" hidden="1" x14ac:dyDescent="0.3"/>
    <row r="2382" hidden="1" x14ac:dyDescent="0.3"/>
    <row r="2383" hidden="1" x14ac:dyDescent="0.3"/>
    <row r="2384" hidden="1" x14ac:dyDescent="0.3"/>
    <row r="2385" hidden="1" x14ac:dyDescent="0.3"/>
    <row r="2386" hidden="1" x14ac:dyDescent="0.3"/>
    <row r="2387" hidden="1" x14ac:dyDescent="0.3"/>
    <row r="2388" hidden="1" x14ac:dyDescent="0.3"/>
    <row r="2389" hidden="1" x14ac:dyDescent="0.3"/>
    <row r="2390" hidden="1" x14ac:dyDescent="0.3"/>
    <row r="2391" hidden="1" x14ac:dyDescent="0.3"/>
    <row r="2392" hidden="1" x14ac:dyDescent="0.3"/>
    <row r="2393" hidden="1" x14ac:dyDescent="0.3"/>
    <row r="2394" hidden="1" x14ac:dyDescent="0.3"/>
    <row r="2395" hidden="1" x14ac:dyDescent="0.3"/>
    <row r="2396" hidden="1" x14ac:dyDescent="0.3"/>
    <row r="2397" hidden="1" x14ac:dyDescent="0.3"/>
    <row r="2398" hidden="1" x14ac:dyDescent="0.3"/>
    <row r="2399" hidden="1" x14ac:dyDescent="0.3"/>
    <row r="2400" hidden="1" x14ac:dyDescent="0.3"/>
    <row r="2401" hidden="1" x14ac:dyDescent="0.3"/>
    <row r="2402" hidden="1" x14ac:dyDescent="0.3"/>
    <row r="2403" hidden="1" x14ac:dyDescent="0.3"/>
    <row r="2404" hidden="1" x14ac:dyDescent="0.3"/>
    <row r="2405" hidden="1" x14ac:dyDescent="0.3"/>
    <row r="2406" hidden="1" x14ac:dyDescent="0.3"/>
    <row r="2407" hidden="1" x14ac:dyDescent="0.3"/>
    <row r="2408" hidden="1" x14ac:dyDescent="0.3"/>
    <row r="2409" hidden="1" x14ac:dyDescent="0.3"/>
    <row r="2410" hidden="1" x14ac:dyDescent="0.3"/>
    <row r="2411" hidden="1" x14ac:dyDescent="0.3"/>
    <row r="2412" hidden="1" x14ac:dyDescent="0.3"/>
    <row r="2413" hidden="1" x14ac:dyDescent="0.3"/>
    <row r="2414" hidden="1" x14ac:dyDescent="0.3"/>
    <row r="2415" hidden="1" x14ac:dyDescent="0.3"/>
    <row r="2416" hidden="1" x14ac:dyDescent="0.3"/>
    <row r="2417" hidden="1" x14ac:dyDescent="0.3"/>
    <row r="2418" hidden="1" x14ac:dyDescent="0.3"/>
    <row r="2419" hidden="1" x14ac:dyDescent="0.3"/>
    <row r="2420" hidden="1" x14ac:dyDescent="0.3"/>
    <row r="2421" hidden="1" x14ac:dyDescent="0.3"/>
    <row r="2422" hidden="1" x14ac:dyDescent="0.3"/>
    <row r="2423" hidden="1" x14ac:dyDescent="0.3"/>
    <row r="2424" hidden="1" x14ac:dyDescent="0.3"/>
    <row r="2425" hidden="1" x14ac:dyDescent="0.3"/>
    <row r="2426" hidden="1" x14ac:dyDescent="0.3"/>
    <row r="2427" hidden="1" x14ac:dyDescent="0.3"/>
    <row r="2428" hidden="1" x14ac:dyDescent="0.3"/>
    <row r="2429" hidden="1" x14ac:dyDescent="0.3"/>
    <row r="2430" hidden="1" x14ac:dyDescent="0.3"/>
    <row r="2431" hidden="1" x14ac:dyDescent="0.3"/>
    <row r="2432" hidden="1" x14ac:dyDescent="0.3"/>
    <row r="2433" hidden="1" x14ac:dyDescent="0.3"/>
    <row r="2434" hidden="1" x14ac:dyDescent="0.3"/>
    <row r="2435" hidden="1" x14ac:dyDescent="0.3"/>
    <row r="2436" hidden="1" x14ac:dyDescent="0.3"/>
    <row r="2437" hidden="1" x14ac:dyDescent="0.3"/>
    <row r="2438" hidden="1" x14ac:dyDescent="0.3"/>
    <row r="2439" hidden="1" x14ac:dyDescent="0.3"/>
    <row r="2440" hidden="1" x14ac:dyDescent="0.3"/>
    <row r="2441" hidden="1" x14ac:dyDescent="0.3"/>
    <row r="2442" hidden="1" x14ac:dyDescent="0.3"/>
    <row r="2443" hidden="1" x14ac:dyDescent="0.3"/>
    <row r="2444" hidden="1" x14ac:dyDescent="0.3"/>
    <row r="2445" hidden="1" x14ac:dyDescent="0.3"/>
    <row r="2446" hidden="1" x14ac:dyDescent="0.3"/>
    <row r="2447" hidden="1" x14ac:dyDescent="0.3"/>
    <row r="2448" hidden="1" x14ac:dyDescent="0.3"/>
    <row r="2449" hidden="1" x14ac:dyDescent="0.3"/>
    <row r="2450" hidden="1" x14ac:dyDescent="0.3"/>
    <row r="2451" hidden="1" x14ac:dyDescent="0.3"/>
    <row r="2452" hidden="1" x14ac:dyDescent="0.3"/>
    <row r="2453" hidden="1" x14ac:dyDescent="0.3"/>
    <row r="2454" hidden="1" x14ac:dyDescent="0.3"/>
    <row r="2455" hidden="1" x14ac:dyDescent="0.3"/>
    <row r="2456" hidden="1" x14ac:dyDescent="0.3"/>
    <row r="2457" hidden="1" x14ac:dyDescent="0.3"/>
    <row r="2458" hidden="1" x14ac:dyDescent="0.3"/>
    <row r="2459" hidden="1" x14ac:dyDescent="0.3"/>
    <row r="2460" hidden="1" x14ac:dyDescent="0.3"/>
    <row r="2461" hidden="1" x14ac:dyDescent="0.3"/>
    <row r="2462" hidden="1" x14ac:dyDescent="0.3"/>
    <row r="2463" hidden="1" x14ac:dyDescent="0.3"/>
    <row r="2464" hidden="1" x14ac:dyDescent="0.3"/>
    <row r="2465" hidden="1" x14ac:dyDescent="0.3"/>
    <row r="2466" hidden="1" x14ac:dyDescent="0.3"/>
    <row r="2467" hidden="1" x14ac:dyDescent="0.3"/>
    <row r="2468" hidden="1" x14ac:dyDescent="0.3"/>
    <row r="2469" hidden="1" x14ac:dyDescent="0.3"/>
    <row r="2470" hidden="1" x14ac:dyDescent="0.3"/>
    <row r="2471" hidden="1" x14ac:dyDescent="0.3"/>
    <row r="2472" hidden="1" x14ac:dyDescent="0.3"/>
    <row r="2473" hidden="1" x14ac:dyDescent="0.3"/>
    <row r="2474" hidden="1" x14ac:dyDescent="0.3"/>
    <row r="2475" hidden="1" x14ac:dyDescent="0.3"/>
    <row r="2476" hidden="1" x14ac:dyDescent="0.3"/>
    <row r="2477" hidden="1" x14ac:dyDescent="0.3"/>
    <row r="2478" hidden="1" x14ac:dyDescent="0.3"/>
    <row r="2479" hidden="1" x14ac:dyDescent="0.3"/>
    <row r="2480" hidden="1" x14ac:dyDescent="0.3"/>
    <row r="2481" hidden="1" x14ac:dyDescent="0.3"/>
    <row r="2482" hidden="1" x14ac:dyDescent="0.3"/>
    <row r="2483" hidden="1" x14ac:dyDescent="0.3"/>
    <row r="2484" hidden="1" x14ac:dyDescent="0.3"/>
    <row r="2485" hidden="1" x14ac:dyDescent="0.3"/>
    <row r="2486" hidden="1" x14ac:dyDescent="0.3"/>
    <row r="2487" hidden="1" x14ac:dyDescent="0.3"/>
    <row r="2488" hidden="1" x14ac:dyDescent="0.3"/>
    <row r="2489" hidden="1" x14ac:dyDescent="0.3"/>
    <row r="2490" hidden="1" x14ac:dyDescent="0.3"/>
    <row r="2491" hidden="1" x14ac:dyDescent="0.3"/>
    <row r="2492" hidden="1" x14ac:dyDescent="0.3"/>
    <row r="2493" hidden="1" x14ac:dyDescent="0.3"/>
    <row r="2494" hidden="1" x14ac:dyDescent="0.3"/>
    <row r="2495" hidden="1" x14ac:dyDescent="0.3"/>
    <row r="2496" hidden="1" x14ac:dyDescent="0.3"/>
    <row r="2497" hidden="1" x14ac:dyDescent="0.3"/>
    <row r="2498" hidden="1" x14ac:dyDescent="0.3"/>
    <row r="2499" hidden="1" x14ac:dyDescent="0.3"/>
    <row r="2500" hidden="1" x14ac:dyDescent="0.3"/>
    <row r="2501" hidden="1" x14ac:dyDescent="0.3"/>
    <row r="2502" hidden="1" x14ac:dyDescent="0.3"/>
    <row r="2503" hidden="1" x14ac:dyDescent="0.3"/>
    <row r="2504" hidden="1" x14ac:dyDescent="0.3"/>
    <row r="2505" hidden="1" x14ac:dyDescent="0.3"/>
    <row r="2506" hidden="1" x14ac:dyDescent="0.3"/>
    <row r="2507" hidden="1" x14ac:dyDescent="0.3"/>
    <row r="2508" hidden="1" x14ac:dyDescent="0.3"/>
    <row r="2509" hidden="1" x14ac:dyDescent="0.3"/>
    <row r="2510" hidden="1" x14ac:dyDescent="0.3"/>
    <row r="2511" hidden="1" x14ac:dyDescent="0.3"/>
    <row r="2512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hidden="1" x14ac:dyDescent="0.3"/>
    <row r="2530" hidden="1" x14ac:dyDescent="0.3"/>
    <row r="2531" hidden="1" x14ac:dyDescent="0.3"/>
    <row r="2532" hidden="1" x14ac:dyDescent="0.3"/>
    <row r="2533" hidden="1" x14ac:dyDescent="0.3"/>
    <row r="2534" hidden="1" x14ac:dyDescent="0.3"/>
    <row r="2535" hidden="1" x14ac:dyDescent="0.3"/>
    <row r="2536" hidden="1" x14ac:dyDescent="0.3"/>
    <row r="2537" hidden="1" x14ac:dyDescent="0.3"/>
    <row r="2538" hidden="1" x14ac:dyDescent="0.3"/>
    <row r="2539" hidden="1" x14ac:dyDescent="0.3"/>
    <row r="2540" hidden="1" x14ac:dyDescent="0.3"/>
    <row r="2541" hidden="1" x14ac:dyDescent="0.3"/>
    <row r="2542" hidden="1" x14ac:dyDescent="0.3"/>
    <row r="2543" hidden="1" x14ac:dyDescent="0.3"/>
    <row r="2544" hidden="1" x14ac:dyDescent="0.3"/>
    <row r="2545" hidden="1" x14ac:dyDescent="0.3"/>
    <row r="2546" hidden="1" x14ac:dyDescent="0.3"/>
    <row r="2547" hidden="1" x14ac:dyDescent="0.3"/>
    <row r="2548" hidden="1" x14ac:dyDescent="0.3"/>
    <row r="2549" hidden="1" x14ac:dyDescent="0.3"/>
    <row r="2550" hidden="1" x14ac:dyDescent="0.3"/>
    <row r="2551" hidden="1" x14ac:dyDescent="0.3"/>
    <row r="2552" hidden="1" x14ac:dyDescent="0.3"/>
    <row r="2553" hidden="1" x14ac:dyDescent="0.3"/>
    <row r="2554" hidden="1" x14ac:dyDescent="0.3"/>
    <row r="2555" hidden="1" x14ac:dyDescent="0.3"/>
    <row r="2556" hidden="1" x14ac:dyDescent="0.3"/>
    <row r="2557" hidden="1" x14ac:dyDescent="0.3"/>
    <row r="2558" hidden="1" x14ac:dyDescent="0.3"/>
    <row r="2559" hidden="1" x14ac:dyDescent="0.3"/>
    <row r="2560" hidden="1" x14ac:dyDescent="0.3"/>
    <row r="2561" hidden="1" x14ac:dyDescent="0.3"/>
    <row r="2562" hidden="1" x14ac:dyDescent="0.3"/>
    <row r="2563" hidden="1" x14ac:dyDescent="0.3"/>
    <row r="2564" hidden="1" x14ac:dyDescent="0.3"/>
    <row r="2565" hidden="1" x14ac:dyDescent="0.3"/>
    <row r="2566" hidden="1" x14ac:dyDescent="0.3"/>
    <row r="2567" hidden="1" x14ac:dyDescent="0.3"/>
    <row r="2568" hidden="1" x14ac:dyDescent="0.3"/>
    <row r="2569" hidden="1" x14ac:dyDescent="0.3"/>
    <row r="2570" hidden="1" x14ac:dyDescent="0.3"/>
    <row r="2571" hidden="1" x14ac:dyDescent="0.3"/>
    <row r="2572" hidden="1" x14ac:dyDescent="0.3"/>
    <row r="2573" hidden="1" x14ac:dyDescent="0.3"/>
    <row r="2574" hidden="1" x14ac:dyDescent="0.3"/>
    <row r="2575" hidden="1" x14ac:dyDescent="0.3"/>
    <row r="2576" hidden="1" x14ac:dyDescent="0.3"/>
    <row r="2577" hidden="1" x14ac:dyDescent="0.3"/>
    <row r="2578" hidden="1" x14ac:dyDescent="0.3"/>
    <row r="2579" hidden="1" x14ac:dyDescent="0.3"/>
    <row r="2580" hidden="1" x14ac:dyDescent="0.3"/>
    <row r="2581" hidden="1" x14ac:dyDescent="0.3"/>
    <row r="2582" hidden="1" x14ac:dyDescent="0.3"/>
    <row r="2583" hidden="1" x14ac:dyDescent="0.3"/>
    <row r="2584" hidden="1" x14ac:dyDescent="0.3"/>
    <row r="2585" hidden="1" x14ac:dyDescent="0.3"/>
    <row r="2586" hidden="1" x14ac:dyDescent="0.3"/>
    <row r="2587" hidden="1" x14ac:dyDescent="0.3"/>
    <row r="2588" hidden="1" x14ac:dyDescent="0.3"/>
    <row r="2589" hidden="1" x14ac:dyDescent="0.3"/>
    <row r="2590" hidden="1" x14ac:dyDescent="0.3"/>
    <row r="2591" hidden="1" x14ac:dyDescent="0.3"/>
    <row r="2592" hidden="1" x14ac:dyDescent="0.3"/>
    <row r="2593" hidden="1" x14ac:dyDescent="0.3"/>
    <row r="2594" hidden="1" x14ac:dyDescent="0.3"/>
    <row r="2595" hidden="1" x14ac:dyDescent="0.3"/>
    <row r="2596" hidden="1" x14ac:dyDescent="0.3"/>
    <row r="2597" hidden="1" x14ac:dyDescent="0.3"/>
    <row r="2598" hidden="1" x14ac:dyDescent="0.3"/>
    <row r="2599" hidden="1" x14ac:dyDescent="0.3"/>
    <row r="2600" hidden="1" x14ac:dyDescent="0.3"/>
    <row r="2601" hidden="1" x14ac:dyDescent="0.3"/>
    <row r="2602" hidden="1" x14ac:dyDescent="0.3"/>
    <row r="2603" hidden="1" x14ac:dyDescent="0.3"/>
    <row r="2604" hidden="1" x14ac:dyDescent="0.3"/>
    <row r="2605" hidden="1" x14ac:dyDescent="0.3"/>
    <row r="2606" hidden="1" x14ac:dyDescent="0.3"/>
    <row r="2607" hidden="1" x14ac:dyDescent="0.3"/>
    <row r="2608" hidden="1" x14ac:dyDescent="0.3"/>
    <row r="2609" hidden="1" x14ac:dyDescent="0.3"/>
    <row r="2610" hidden="1" x14ac:dyDescent="0.3"/>
    <row r="2611" hidden="1" x14ac:dyDescent="0.3"/>
    <row r="2612" hidden="1" x14ac:dyDescent="0.3"/>
    <row r="2613" hidden="1" x14ac:dyDescent="0.3"/>
    <row r="2614" hidden="1" x14ac:dyDescent="0.3"/>
    <row r="2615" hidden="1" x14ac:dyDescent="0.3"/>
    <row r="2616" hidden="1" x14ac:dyDescent="0.3"/>
    <row r="2617" hidden="1" x14ac:dyDescent="0.3"/>
    <row r="2618" hidden="1" x14ac:dyDescent="0.3"/>
    <row r="2619" hidden="1" x14ac:dyDescent="0.3"/>
    <row r="2620" hidden="1" x14ac:dyDescent="0.3"/>
    <row r="2621" hidden="1" x14ac:dyDescent="0.3"/>
    <row r="2622" hidden="1" x14ac:dyDescent="0.3"/>
    <row r="2623" hidden="1" x14ac:dyDescent="0.3"/>
    <row r="2624" hidden="1" x14ac:dyDescent="0.3"/>
    <row r="2625" hidden="1" x14ac:dyDescent="0.3"/>
    <row r="2626" hidden="1" x14ac:dyDescent="0.3"/>
    <row r="2627" hidden="1" x14ac:dyDescent="0.3"/>
    <row r="2628" hidden="1" x14ac:dyDescent="0.3"/>
    <row r="2629" hidden="1" x14ac:dyDescent="0.3"/>
    <row r="2630" hidden="1" x14ac:dyDescent="0.3"/>
    <row r="2631" hidden="1" x14ac:dyDescent="0.3"/>
    <row r="2632" hidden="1" x14ac:dyDescent="0.3"/>
    <row r="2633" hidden="1" x14ac:dyDescent="0.3"/>
    <row r="2634" hidden="1" x14ac:dyDescent="0.3"/>
    <row r="2635" hidden="1" x14ac:dyDescent="0.3"/>
    <row r="2636" hidden="1" x14ac:dyDescent="0.3"/>
    <row r="2637" hidden="1" x14ac:dyDescent="0.3"/>
    <row r="2638" hidden="1" x14ac:dyDescent="0.3"/>
    <row r="2639" hidden="1" x14ac:dyDescent="0.3"/>
    <row r="2640" hidden="1" x14ac:dyDescent="0.3"/>
    <row r="2641" hidden="1" x14ac:dyDescent="0.3"/>
    <row r="2642" hidden="1" x14ac:dyDescent="0.3"/>
    <row r="2643" hidden="1" x14ac:dyDescent="0.3"/>
    <row r="2644" hidden="1" x14ac:dyDescent="0.3"/>
    <row r="2645" hidden="1" x14ac:dyDescent="0.3"/>
    <row r="2646" hidden="1" x14ac:dyDescent="0.3"/>
    <row r="2647" hidden="1" x14ac:dyDescent="0.3"/>
    <row r="2648" hidden="1" x14ac:dyDescent="0.3"/>
    <row r="2649" hidden="1" x14ac:dyDescent="0.3"/>
    <row r="2650" hidden="1" x14ac:dyDescent="0.3"/>
    <row r="2651" hidden="1" x14ac:dyDescent="0.3"/>
    <row r="2652" hidden="1" x14ac:dyDescent="0.3"/>
    <row r="2653" hidden="1" x14ac:dyDescent="0.3"/>
    <row r="2654" hidden="1" x14ac:dyDescent="0.3"/>
    <row r="2655" hidden="1" x14ac:dyDescent="0.3"/>
    <row r="2656" hidden="1" x14ac:dyDescent="0.3"/>
    <row r="2657" hidden="1" x14ac:dyDescent="0.3"/>
    <row r="2658" hidden="1" x14ac:dyDescent="0.3"/>
    <row r="2659" hidden="1" x14ac:dyDescent="0.3"/>
    <row r="2660" hidden="1" x14ac:dyDescent="0.3"/>
    <row r="2661" hidden="1" x14ac:dyDescent="0.3"/>
    <row r="2662" hidden="1" x14ac:dyDescent="0.3"/>
    <row r="2663" hidden="1" x14ac:dyDescent="0.3"/>
    <row r="2664" hidden="1" x14ac:dyDescent="0.3"/>
    <row r="2665" hidden="1" x14ac:dyDescent="0.3"/>
    <row r="2666" hidden="1" x14ac:dyDescent="0.3"/>
    <row r="2667" hidden="1" x14ac:dyDescent="0.3"/>
    <row r="2668" hidden="1" x14ac:dyDescent="0.3"/>
    <row r="2669" hidden="1" x14ac:dyDescent="0.3"/>
    <row r="2670" hidden="1" x14ac:dyDescent="0.3"/>
    <row r="2671" hidden="1" x14ac:dyDescent="0.3"/>
    <row r="2672" hidden="1" x14ac:dyDescent="0.3"/>
    <row r="2673" hidden="1" x14ac:dyDescent="0.3"/>
    <row r="2674" hidden="1" x14ac:dyDescent="0.3"/>
    <row r="2675" hidden="1" x14ac:dyDescent="0.3"/>
    <row r="2676" hidden="1" x14ac:dyDescent="0.3"/>
    <row r="2677" hidden="1" x14ac:dyDescent="0.3"/>
    <row r="2678" hidden="1" x14ac:dyDescent="0.3"/>
    <row r="2679" hidden="1" x14ac:dyDescent="0.3"/>
    <row r="2680" hidden="1" x14ac:dyDescent="0.3"/>
    <row r="2681" hidden="1" x14ac:dyDescent="0.3"/>
    <row r="2682" hidden="1" x14ac:dyDescent="0.3"/>
    <row r="2683" hidden="1" x14ac:dyDescent="0.3"/>
    <row r="2684" hidden="1" x14ac:dyDescent="0.3"/>
    <row r="2685" hidden="1" x14ac:dyDescent="0.3"/>
    <row r="2686" hidden="1" x14ac:dyDescent="0.3"/>
    <row r="2687" hidden="1" x14ac:dyDescent="0.3"/>
    <row r="2688" hidden="1" x14ac:dyDescent="0.3"/>
    <row r="2689" hidden="1" x14ac:dyDescent="0.3"/>
    <row r="2690" hidden="1" x14ac:dyDescent="0.3"/>
    <row r="2691" hidden="1" x14ac:dyDescent="0.3"/>
    <row r="2692" hidden="1" x14ac:dyDescent="0.3"/>
    <row r="2693" hidden="1" x14ac:dyDescent="0.3"/>
    <row r="2694" hidden="1" x14ac:dyDescent="0.3"/>
    <row r="2695" hidden="1" x14ac:dyDescent="0.3"/>
    <row r="2696" hidden="1" x14ac:dyDescent="0.3"/>
    <row r="2697" hidden="1" x14ac:dyDescent="0.3"/>
    <row r="2698" hidden="1" x14ac:dyDescent="0.3"/>
    <row r="2699" hidden="1" x14ac:dyDescent="0.3"/>
    <row r="2700" hidden="1" x14ac:dyDescent="0.3"/>
    <row r="2701" hidden="1" x14ac:dyDescent="0.3"/>
    <row r="2702" hidden="1" x14ac:dyDescent="0.3"/>
    <row r="2703" hidden="1" x14ac:dyDescent="0.3"/>
    <row r="2704" hidden="1" x14ac:dyDescent="0.3"/>
    <row r="2705" hidden="1" x14ac:dyDescent="0.3"/>
    <row r="2706" hidden="1" x14ac:dyDescent="0.3"/>
    <row r="2707" hidden="1" x14ac:dyDescent="0.3"/>
    <row r="2708" hidden="1" x14ac:dyDescent="0.3"/>
    <row r="2709" hidden="1" x14ac:dyDescent="0.3"/>
    <row r="2710" hidden="1" x14ac:dyDescent="0.3"/>
    <row r="2711" hidden="1" x14ac:dyDescent="0.3"/>
    <row r="2712" hidden="1" x14ac:dyDescent="0.3"/>
    <row r="2713" hidden="1" x14ac:dyDescent="0.3"/>
    <row r="2714" hidden="1" x14ac:dyDescent="0.3"/>
    <row r="2715" hidden="1" x14ac:dyDescent="0.3"/>
    <row r="2716" hidden="1" x14ac:dyDescent="0.3"/>
    <row r="2717" hidden="1" x14ac:dyDescent="0.3"/>
    <row r="2718" hidden="1" x14ac:dyDescent="0.3"/>
    <row r="2719" hidden="1" x14ac:dyDescent="0.3"/>
    <row r="2720" hidden="1" x14ac:dyDescent="0.3"/>
    <row r="2721" hidden="1" x14ac:dyDescent="0.3"/>
    <row r="2722" hidden="1" x14ac:dyDescent="0.3"/>
    <row r="2723" hidden="1" x14ac:dyDescent="0.3"/>
    <row r="2724" hidden="1" x14ac:dyDescent="0.3"/>
    <row r="2725" hidden="1" x14ac:dyDescent="0.3"/>
    <row r="2726" hidden="1" x14ac:dyDescent="0.3"/>
    <row r="2727" hidden="1" x14ac:dyDescent="0.3"/>
    <row r="2728" hidden="1" x14ac:dyDescent="0.3"/>
    <row r="2729" hidden="1" x14ac:dyDescent="0.3"/>
    <row r="2730" hidden="1" x14ac:dyDescent="0.3"/>
    <row r="2731" hidden="1" x14ac:dyDescent="0.3"/>
    <row r="2732" hidden="1" x14ac:dyDescent="0.3"/>
    <row r="2733" hidden="1" x14ac:dyDescent="0.3"/>
    <row r="2734" hidden="1" x14ac:dyDescent="0.3"/>
    <row r="2735" hidden="1" x14ac:dyDescent="0.3"/>
    <row r="2736" hidden="1" x14ac:dyDescent="0.3"/>
    <row r="2737" hidden="1" x14ac:dyDescent="0.3"/>
    <row r="2738" hidden="1" x14ac:dyDescent="0.3"/>
    <row r="2739" hidden="1" x14ac:dyDescent="0.3"/>
    <row r="2740" hidden="1" x14ac:dyDescent="0.3"/>
    <row r="2741" hidden="1" x14ac:dyDescent="0.3"/>
    <row r="2742" hidden="1" x14ac:dyDescent="0.3"/>
    <row r="2743" hidden="1" x14ac:dyDescent="0.3"/>
    <row r="2744" hidden="1" x14ac:dyDescent="0.3"/>
    <row r="2745" hidden="1" x14ac:dyDescent="0.3"/>
    <row r="2746" hidden="1" x14ac:dyDescent="0.3"/>
    <row r="2747" hidden="1" x14ac:dyDescent="0.3"/>
    <row r="2748" hidden="1" x14ac:dyDescent="0.3"/>
    <row r="2749" hidden="1" x14ac:dyDescent="0.3"/>
    <row r="2750" hidden="1" x14ac:dyDescent="0.3"/>
    <row r="2751" hidden="1" x14ac:dyDescent="0.3"/>
    <row r="2752" hidden="1" x14ac:dyDescent="0.3"/>
    <row r="2753" hidden="1" x14ac:dyDescent="0.3"/>
    <row r="2754" hidden="1" x14ac:dyDescent="0.3"/>
    <row r="2755" hidden="1" x14ac:dyDescent="0.3"/>
    <row r="2756" hidden="1" x14ac:dyDescent="0.3"/>
    <row r="2757" hidden="1" x14ac:dyDescent="0.3"/>
    <row r="2758" hidden="1" x14ac:dyDescent="0.3"/>
    <row r="2759" hidden="1" x14ac:dyDescent="0.3"/>
    <row r="2760" hidden="1" x14ac:dyDescent="0.3"/>
    <row r="2761" hidden="1" x14ac:dyDescent="0.3"/>
    <row r="2762" hidden="1" x14ac:dyDescent="0.3"/>
    <row r="2763" hidden="1" x14ac:dyDescent="0.3"/>
    <row r="2764" hidden="1" x14ac:dyDescent="0.3"/>
    <row r="2765" hidden="1" x14ac:dyDescent="0.3"/>
    <row r="2766" hidden="1" x14ac:dyDescent="0.3"/>
    <row r="2767" hidden="1" x14ac:dyDescent="0.3"/>
    <row r="2768" hidden="1" x14ac:dyDescent="0.3"/>
    <row r="2769" hidden="1" x14ac:dyDescent="0.3"/>
    <row r="2770" hidden="1" x14ac:dyDescent="0.3"/>
    <row r="2771" hidden="1" x14ac:dyDescent="0.3"/>
    <row r="2772" hidden="1" x14ac:dyDescent="0.3"/>
    <row r="2773" hidden="1" x14ac:dyDescent="0.3"/>
    <row r="2774" hidden="1" x14ac:dyDescent="0.3"/>
    <row r="2775" hidden="1" x14ac:dyDescent="0.3"/>
    <row r="2776" hidden="1" x14ac:dyDescent="0.3"/>
    <row r="2777" hidden="1" x14ac:dyDescent="0.3"/>
    <row r="2778" hidden="1" x14ac:dyDescent="0.3"/>
    <row r="2779" hidden="1" x14ac:dyDescent="0.3"/>
    <row r="2780" hidden="1" x14ac:dyDescent="0.3"/>
    <row r="2781" hidden="1" x14ac:dyDescent="0.3"/>
    <row r="2782" hidden="1" x14ac:dyDescent="0.3"/>
    <row r="2783" hidden="1" x14ac:dyDescent="0.3"/>
    <row r="2784" hidden="1" x14ac:dyDescent="0.3"/>
    <row r="2785" hidden="1" x14ac:dyDescent="0.3"/>
    <row r="2786" hidden="1" x14ac:dyDescent="0.3"/>
    <row r="2787" hidden="1" x14ac:dyDescent="0.3"/>
    <row r="2788" hidden="1" x14ac:dyDescent="0.3"/>
    <row r="2789" hidden="1" x14ac:dyDescent="0.3"/>
    <row r="2790" hidden="1" x14ac:dyDescent="0.3"/>
    <row r="2791" hidden="1" x14ac:dyDescent="0.3"/>
    <row r="2792" hidden="1" x14ac:dyDescent="0.3"/>
    <row r="2793" hidden="1" x14ac:dyDescent="0.3"/>
    <row r="2794" hidden="1" x14ac:dyDescent="0.3"/>
    <row r="2795" hidden="1" x14ac:dyDescent="0.3"/>
    <row r="2796" hidden="1" x14ac:dyDescent="0.3"/>
    <row r="2797" hidden="1" x14ac:dyDescent="0.3"/>
    <row r="2798" hidden="1" x14ac:dyDescent="0.3"/>
    <row r="2799" hidden="1" x14ac:dyDescent="0.3"/>
    <row r="2800" hidden="1" x14ac:dyDescent="0.3"/>
    <row r="2801" hidden="1" x14ac:dyDescent="0.3"/>
    <row r="2802" hidden="1" x14ac:dyDescent="0.3"/>
    <row r="2803" hidden="1" x14ac:dyDescent="0.3"/>
    <row r="2804" hidden="1" x14ac:dyDescent="0.3"/>
    <row r="2805" hidden="1" x14ac:dyDescent="0.3"/>
    <row r="2806" hidden="1" x14ac:dyDescent="0.3"/>
    <row r="2807" hidden="1" x14ac:dyDescent="0.3"/>
    <row r="2808" hidden="1" x14ac:dyDescent="0.3"/>
    <row r="2809" hidden="1" x14ac:dyDescent="0.3"/>
    <row r="2810" hidden="1" x14ac:dyDescent="0.3"/>
    <row r="2811" hidden="1" x14ac:dyDescent="0.3"/>
    <row r="2812" hidden="1" x14ac:dyDescent="0.3"/>
    <row r="2813" hidden="1" x14ac:dyDescent="0.3"/>
    <row r="2814" hidden="1" x14ac:dyDescent="0.3"/>
    <row r="2815" hidden="1" x14ac:dyDescent="0.3"/>
    <row r="2816" hidden="1" x14ac:dyDescent="0.3"/>
    <row r="2817" hidden="1" x14ac:dyDescent="0.3"/>
    <row r="2818" hidden="1" x14ac:dyDescent="0.3"/>
    <row r="2819" hidden="1" x14ac:dyDescent="0.3"/>
    <row r="2820" hidden="1" x14ac:dyDescent="0.3"/>
    <row r="2821" hidden="1" x14ac:dyDescent="0.3"/>
    <row r="2822" hidden="1" x14ac:dyDescent="0.3"/>
    <row r="2823" hidden="1" x14ac:dyDescent="0.3"/>
    <row r="2824" hidden="1" x14ac:dyDescent="0.3"/>
    <row r="2825" hidden="1" x14ac:dyDescent="0.3"/>
    <row r="2826" hidden="1" x14ac:dyDescent="0.3"/>
    <row r="2827" hidden="1" x14ac:dyDescent="0.3"/>
    <row r="2828" hidden="1" x14ac:dyDescent="0.3"/>
    <row r="2829" hidden="1" x14ac:dyDescent="0.3"/>
    <row r="2830" hidden="1" x14ac:dyDescent="0.3"/>
    <row r="2831" hidden="1" x14ac:dyDescent="0.3"/>
    <row r="2832" hidden="1" x14ac:dyDescent="0.3"/>
    <row r="2833" hidden="1" x14ac:dyDescent="0.3"/>
    <row r="2834" hidden="1" x14ac:dyDescent="0.3"/>
    <row r="2835" hidden="1" x14ac:dyDescent="0.3"/>
    <row r="2836" hidden="1" x14ac:dyDescent="0.3"/>
    <row r="2837" hidden="1" x14ac:dyDescent="0.3"/>
    <row r="2838" hidden="1" x14ac:dyDescent="0.3"/>
    <row r="2839" hidden="1" x14ac:dyDescent="0.3"/>
    <row r="2840" hidden="1" x14ac:dyDescent="0.3"/>
    <row r="2841" hidden="1" x14ac:dyDescent="0.3"/>
    <row r="2842" hidden="1" x14ac:dyDescent="0.3"/>
    <row r="2843" hidden="1" x14ac:dyDescent="0.3"/>
    <row r="2844" hidden="1" x14ac:dyDescent="0.3"/>
    <row r="2845" hidden="1" x14ac:dyDescent="0.3"/>
    <row r="2846" hidden="1" x14ac:dyDescent="0.3"/>
    <row r="2847" hidden="1" x14ac:dyDescent="0.3"/>
    <row r="2848" hidden="1" x14ac:dyDescent="0.3"/>
    <row r="2849" hidden="1" x14ac:dyDescent="0.3"/>
    <row r="2850" hidden="1" x14ac:dyDescent="0.3"/>
    <row r="2851" hidden="1" x14ac:dyDescent="0.3"/>
    <row r="2852" hidden="1" x14ac:dyDescent="0.3"/>
    <row r="2853" hidden="1" x14ac:dyDescent="0.3"/>
    <row r="2854" hidden="1" x14ac:dyDescent="0.3"/>
    <row r="2855" hidden="1" x14ac:dyDescent="0.3"/>
    <row r="2856" hidden="1" x14ac:dyDescent="0.3"/>
    <row r="2857" hidden="1" x14ac:dyDescent="0.3"/>
    <row r="2858" hidden="1" x14ac:dyDescent="0.3"/>
    <row r="2859" hidden="1" x14ac:dyDescent="0.3"/>
    <row r="2860" hidden="1" x14ac:dyDescent="0.3"/>
    <row r="2861" hidden="1" x14ac:dyDescent="0.3"/>
    <row r="2862" hidden="1" x14ac:dyDescent="0.3"/>
    <row r="2863" hidden="1" x14ac:dyDescent="0.3"/>
    <row r="2864" hidden="1" x14ac:dyDescent="0.3"/>
    <row r="2865" hidden="1" x14ac:dyDescent="0.3"/>
    <row r="2866" hidden="1" x14ac:dyDescent="0.3"/>
    <row r="2867" hidden="1" x14ac:dyDescent="0.3"/>
    <row r="2868" hidden="1" x14ac:dyDescent="0.3"/>
    <row r="2869" hidden="1" x14ac:dyDescent="0.3"/>
    <row r="2870" hidden="1" x14ac:dyDescent="0.3"/>
    <row r="2871" hidden="1" x14ac:dyDescent="0.3"/>
    <row r="2872" hidden="1" x14ac:dyDescent="0.3"/>
    <row r="2873" hidden="1" x14ac:dyDescent="0.3"/>
    <row r="2874" hidden="1" x14ac:dyDescent="0.3"/>
    <row r="2875" hidden="1" x14ac:dyDescent="0.3"/>
    <row r="2876" hidden="1" x14ac:dyDescent="0.3"/>
    <row r="2877" hidden="1" x14ac:dyDescent="0.3"/>
    <row r="2878" hidden="1" x14ac:dyDescent="0.3"/>
    <row r="2879" hidden="1" x14ac:dyDescent="0.3"/>
    <row r="2880" hidden="1" x14ac:dyDescent="0.3"/>
    <row r="2881" hidden="1" x14ac:dyDescent="0.3"/>
    <row r="2882" hidden="1" x14ac:dyDescent="0.3"/>
    <row r="2883" hidden="1" x14ac:dyDescent="0.3"/>
    <row r="2884" hidden="1" x14ac:dyDescent="0.3"/>
    <row r="2885" hidden="1" x14ac:dyDescent="0.3"/>
    <row r="2886" hidden="1" x14ac:dyDescent="0.3"/>
    <row r="2887" hidden="1" x14ac:dyDescent="0.3"/>
    <row r="2888" hidden="1" x14ac:dyDescent="0.3"/>
    <row r="2889" hidden="1" x14ac:dyDescent="0.3"/>
    <row r="2890" hidden="1" x14ac:dyDescent="0.3"/>
    <row r="2891" hidden="1" x14ac:dyDescent="0.3"/>
    <row r="2892" hidden="1" x14ac:dyDescent="0.3"/>
    <row r="2893" hidden="1" x14ac:dyDescent="0.3"/>
    <row r="2894" hidden="1" x14ac:dyDescent="0.3"/>
    <row r="2895" hidden="1" x14ac:dyDescent="0.3"/>
    <row r="2896" hidden="1" x14ac:dyDescent="0.3"/>
    <row r="2897" hidden="1" x14ac:dyDescent="0.3"/>
    <row r="2898" hidden="1" x14ac:dyDescent="0.3"/>
    <row r="2899" hidden="1" x14ac:dyDescent="0.3"/>
    <row r="2900" hidden="1" x14ac:dyDescent="0.3"/>
    <row r="2901" hidden="1" x14ac:dyDescent="0.3"/>
    <row r="2902" hidden="1" x14ac:dyDescent="0.3"/>
    <row r="2903" hidden="1" x14ac:dyDescent="0.3"/>
    <row r="2904" hidden="1" x14ac:dyDescent="0.3"/>
    <row r="2905" hidden="1" x14ac:dyDescent="0.3"/>
    <row r="2906" hidden="1" x14ac:dyDescent="0.3"/>
    <row r="2907" hidden="1" x14ac:dyDescent="0.3"/>
    <row r="2908" hidden="1" x14ac:dyDescent="0.3"/>
    <row r="2909" hidden="1" x14ac:dyDescent="0.3"/>
    <row r="2910" hidden="1" x14ac:dyDescent="0.3"/>
    <row r="2911" hidden="1" x14ac:dyDescent="0.3"/>
    <row r="2912" hidden="1" x14ac:dyDescent="0.3"/>
    <row r="2913" hidden="1" x14ac:dyDescent="0.3"/>
    <row r="2914" hidden="1" x14ac:dyDescent="0.3"/>
    <row r="2915" hidden="1" x14ac:dyDescent="0.3"/>
    <row r="2916" hidden="1" x14ac:dyDescent="0.3"/>
    <row r="2917" hidden="1" x14ac:dyDescent="0.3"/>
    <row r="2918" hidden="1" x14ac:dyDescent="0.3"/>
    <row r="2919" hidden="1" x14ac:dyDescent="0.3"/>
    <row r="2920" hidden="1" x14ac:dyDescent="0.3"/>
    <row r="2921" hidden="1" x14ac:dyDescent="0.3"/>
    <row r="2922" hidden="1" x14ac:dyDescent="0.3"/>
    <row r="2923" hidden="1" x14ac:dyDescent="0.3"/>
    <row r="2924" hidden="1" x14ac:dyDescent="0.3"/>
    <row r="2925" hidden="1" x14ac:dyDescent="0.3"/>
    <row r="2926" hidden="1" x14ac:dyDescent="0.3"/>
    <row r="2927" hidden="1" x14ac:dyDescent="0.3"/>
    <row r="2928" hidden="1" x14ac:dyDescent="0.3"/>
    <row r="2929" hidden="1" x14ac:dyDescent="0.3"/>
    <row r="2930" hidden="1" x14ac:dyDescent="0.3"/>
    <row r="2931" hidden="1" x14ac:dyDescent="0.3"/>
    <row r="2932" hidden="1" x14ac:dyDescent="0.3"/>
    <row r="2933" hidden="1" x14ac:dyDescent="0.3"/>
    <row r="2934" hidden="1" x14ac:dyDescent="0.3"/>
    <row r="2935" hidden="1" x14ac:dyDescent="0.3"/>
    <row r="2936" hidden="1" x14ac:dyDescent="0.3"/>
    <row r="2937" hidden="1" x14ac:dyDescent="0.3"/>
    <row r="2938" hidden="1" x14ac:dyDescent="0.3"/>
    <row r="2939" hidden="1" x14ac:dyDescent="0.3"/>
    <row r="2940" hidden="1" x14ac:dyDescent="0.3"/>
    <row r="2941" hidden="1" x14ac:dyDescent="0.3"/>
    <row r="2942" hidden="1" x14ac:dyDescent="0.3"/>
    <row r="2943" hidden="1" x14ac:dyDescent="0.3"/>
    <row r="2944" hidden="1" x14ac:dyDescent="0.3"/>
    <row r="2945" hidden="1" x14ac:dyDescent="0.3"/>
    <row r="2946" hidden="1" x14ac:dyDescent="0.3"/>
    <row r="2947" hidden="1" x14ac:dyDescent="0.3"/>
    <row r="2948" hidden="1" x14ac:dyDescent="0.3"/>
    <row r="2949" hidden="1" x14ac:dyDescent="0.3"/>
    <row r="2950" hidden="1" x14ac:dyDescent="0.3"/>
    <row r="2951" hidden="1" x14ac:dyDescent="0.3"/>
    <row r="2952" hidden="1" x14ac:dyDescent="0.3"/>
    <row r="2953" hidden="1" x14ac:dyDescent="0.3"/>
    <row r="2954" hidden="1" x14ac:dyDescent="0.3"/>
    <row r="2955" hidden="1" x14ac:dyDescent="0.3"/>
    <row r="2956" hidden="1" x14ac:dyDescent="0.3"/>
    <row r="2957" hidden="1" x14ac:dyDescent="0.3"/>
    <row r="2958" hidden="1" x14ac:dyDescent="0.3"/>
    <row r="2959" hidden="1" x14ac:dyDescent="0.3"/>
    <row r="2960" hidden="1" x14ac:dyDescent="0.3"/>
    <row r="2961" hidden="1" x14ac:dyDescent="0.3"/>
    <row r="2962" hidden="1" x14ac:dyDescent="0.3"/>
    <row r="2963" hidden="1" x14ac:dyDescent="0.3"/>
    <row r="2964" hidden="1" x14ac:dyDescent="0.3"/>
    <row r="2965" hidden="1" x14ac:dyDescent="0.3"/>
    <row r="2966" hidden="1" x14ac:dyDescent="0.3"/>
    <row r="2967" hidden="1" x14ac:dyDescent="0.3"/>
    <row r="2968" hidden="1" x14ac:dyDescent="0.3"/>
    <row r="2969" hidden="1" x14ac:dyDescent="0.3"/>
    <row r="2970" hidden="1" x14ac:dyDescent="0.3"/>
    <row r="2971" hidden="1" x14ac:dyDescent="0.3"/>
    <row r="2972" hidden="1" x14ac:dyDescent="0.3"/>
    <row r="2973" hidden="1" x14ac:dyDescent="0.3"/>
    <row r="2974" hidden="1" x14ac:dyDescent="0.3"/>
    <row r="2975" hidden="1" x14ac:dyDescent="0.3"/>
    <row r="2976" hidden="1" x14ac:dyDescent="0.3"/>
    <row r="2977" hidden="1" x14ac:dyDescent="0.3"/>
    <row r="2978" hidden="1" x14ac:dyDescent="0.3"/>
    <row r="2979" hidden="1" x14ac:dyDescent="0.3"/>
    <row r="2980" hidden="1" x14ac:dyDescent="0.3"/>
    <row r="2981" hidden="1" x14ac:dyDescent="0.3"/>
    <row r="2982" hidden="1" x14ac:dyDescent="0.3"/>
    <row r="2983" hidden="1" x14ac:dyDescent="0.3"/>
    <row r="2984" hidden="1" x14ac:dyDescent="0.3"/>
    <row r="2985" hidden="1" x14ac:dyDescent="0.3"/>
    <row r="2986" hidden="1" x14ac:dyDescent="0.3"/>
    <row r="2987" hidden="1" x14ac:dyDescent="0.3"/>
    <row r="2988" hidden="1" x14ac:dyDescent="0.3"/>
    <row r="2989" hidden="1" x14ac:dyDescent="0.3"/>
    <row r="2990" hidden="1" x14ac:dyDescent="0.3"/>
    <row r="2991" hidden="1" x14ac:dyDescent="0.3"/>
    <row r="2992" hidden="1" x14ac:dyDescent="0.3"/>
    <row r="2993" hidden="1" x14ac:dyDescent="0.3"/>
    <row r="2994" hidden="1" x14ac:dyDescent="0.3"/>
    <row r="2995" hidden="1" x14ac:dyDescent="0.3"/>
    <row r="2996" hidden="1" x14ac:dyDescent="0.3"/>
    <row r="2997" hidden="1" x14ac:dyDescent="0.3"/>
    <row r="2998" hidden="1" x14ac:dyDescent="0.3"/>
    <row r="2999" hidden="1" x14ac:dyDescent="0.3"/>
    <row r="3000" hidden="1" x14ac:dyDescent="0.3"/>
    <row r="3001" hidden="1" x14ac:dyDescent="0.3"/>
    <row r="3002" hidden="1" x14ac:dyDescent="0.3"/>
    <row r="3003" hidden="1" x14ac:dyDescent="0.3"/>
    <row r="3004" hidden="1" x14ac:dyDescent="0.3"/>
    <row r="3005" hidden="1" x14ac:dyDescent="0.3"/>
    <row r="3006" hidden="1" x14ac:dyDescent="0.3"/>
    <row r="3007" hidden="1" x14ac:dyDescent="0.3"/>
    <row r="3008" hidden="1" x14ac:dyDescent="0.3"/>
    <row r="3009" hidden="1" x14ac:dyDescent="0.3"/>
    <row r="3010" hidden="1" x14ac:dyDescent="0.3"/>
    <row r="3011" hidden="1" x14ac:dyDescent="0.3"/>
    <row r="3012" hidden="1" x14ac:dyDescent="0.3"/>
    <row r="3013" hidden="1" x14ac:dyDescent="0.3"/>
    <row r="3014" hidden="1" x14ac:dyDescent="0.3"/>
    <row r="3015" hidden="1" x14ac:dyDescent="0.3"/>
    <row r="3016" hidden="1" x14ac:dyDescent="0.3"/>
    <row r="3017" hidden="1" x14ac:dyDescent="0.3"/>
    <row r="3018" hidden="1" x14ac:dyDescent="0.3"/>
    <row r="3019" hidden="1" x14ac:dyDescent="0.3"/>
    <row r="3020" hidden="1" x14ac:dyDescent="0.3"/>
    <row r="3021" hidden="1" x14ac:dyDescent="0.3"/>
    <row r="3022" hidden="1" x14ac:dyDescent="0.3"/>
    <row r="3023" hidden="1" x14ac:dyDescent="0.3"/>
    <row r="3024" hidden="1" x14ac:dyDescent="0.3"/>
    <row r="3025" hidden="1" x14ac:dyDescent="0.3"/>
    <row r="3026" hidden="1" x14ac:dyDescent="0.3"/>
    <row r="3027" hidden="1" x14ac:dyDescent="0.3"/>
    <row r="3028" hidden="1" x14ac:dyDescent="0.3"/>
    <row r="3029" hidden="1" x14ac:dyDescent="0.3"/>
    <row r="3030" hidden="1" x14ac:dyDescent="0.3"/>
    <row r="3031" hidden="1" x14ac:dyDescent="0.3"/>
    <row r="3032" hidden="1" x14ac:dyDescent="0.3"/>
    <row r="3033" hidden="1" x14ac:dyDescent="0.3"/>
    <row r="3034" hidden="1" x14ac:dyDescent="0.3"/>
    <row r="3035" hidden="1" x14ac:dyDescent="0.3"/>
    <row r="3036" hidden="1" x14ac:dyDescent="0.3"/>
    <row r="3037" hidden="1" x14ac:dyDescent="0.3"/>
    <row r="3038" hidden="1" x14ac:dyDescent="0.3"/>
    <row r="3039" hidden="1" x14ac:dyDescent="0.3"/>
    <row r="3040" hidden="1" x14ac:dyDescent="0.3"/>
    <row r="3041" hidden="1" x14ac:dyDescent="0.3"/>
    <row r="3042" hidden="1" x14ac:dyDescent="0.3"/>
    <row r="3043" hidden="1" x14ac:dyDescent="0.3"/>
    <row r="3044" hidden="1" x14ac:dyDescent="0.3"/>
    <row r="3045" hidden="1" x14ac:dyDescent="0.3"/>
    <row r="3046" hidden="1" x14ac:dyDescent="0.3"/>
    <row r="3047" hidden="1" x14ac:dyDescent="0.3"/>
    <row r="3048" hidden="1" x14ac:dyDescent="0.3"/>
    <row r="3049" hidden="1" x14ac:dyDescent="0.3"/>
    <row r="3050" hidden="1" x14ac:dyDescent="0.3"/>
    <row r="3051" hidden="1" x14ac:dyDescent="0.3"/>
    <row r="3052" hidden="1" x14ac:dyDescent="0.3"/>
    <row r="3053" hidden="1" x14ac:dyDescent="0.3"/>
    <row r="3054" hidden="1" x14ac:dyDescent="0.3"/>
    <row r="3055" hidden="1" x14ac:dyDescent="0.3"/>
    <row r="3056" hidden="1" x14ac:dyDescent="0.3"/>
    <row r="3057" hidden="1" x14ac:dyDescent="0.3"/>
    <row r="3058" hidden="1" x14ac:dyDescent="0.3"/>
    <row r="3059" hidden="1" x14ac:dyDescent="0.3"/>
    <row r="3060" hidden="1" x14ac:dyDescent="0.3"/>
    <row r="3061" hidden="1" x14ac:dyDescent="0.3"/>
    <row r="3062" hidden="1" x14ac:dyDescent="0.3"/>
    <row r="3063" hidden="1" x14ac:dyDescent="0.3"/>
    <row r="3064" hidden="1" x14ac:dyDescent="0.3"/>
    <row r="3065" hidden="1" x14ac:dyDescent="0.3"/>
    <row r="3066" hidden="1" x14ac:dyDescent="0.3"/>
    <row r="3067" hidden="1" x14ac:dyDescent="0.3"/>
    <row r="3068" hidden="1" x14ac:dyDescent="0.3"/>
    <row r="3069" hidden="1" x14ac:dyDescent="0.3"/>
    <row r="3070" hidden="1" x14ac:dyDescent="0.3"/>
    <row r="3071" hidden="1" x14ac:dyDescent="0.3"/>
    <row r="3072" hidden="1" x14ac:dyDescent="0.3"/>
    <row r="3073" hidden="1" x14ac:dyDescent="0.3"/>
    <row r="3074" hidden="1" x14ac:dyDescent="0.3"/>
    <row r="3075" hidden="1" x14ac:dyDescent="0.3"/>
    <row r="3076" hidden="1" x14ac:dyDescent="0.3"/>
    <row r="3077" hidden="1" x14ac:dyDescent="0.3"/>
    <row r="3078" hidden="1" x14ac:dyDescent="0.3"/>
    <row r="3079" hidden="1" x14ac:dyDescent="0.3"/>
    <row r="3080" hidden="1" x14ac:dyDescent="0.3"/>
    <row r="3081" hidden="1" x14ac:dyDescent="0.3"/>
    <row r="3082" hidden="1" x14ac:dyDescent="0.3"/>
    <row r="3083" hidden="1" x14ac:dyDescent="0.3"/>
    <row r="3084" hidden="1" x14ac:dyDescent="0.3"/>
    <row r="3085" hidden="1" x14ac:dyDescent="0.3"/>
    <row r="3086" hidden="1" x14ac:dyDescent="0.3"/>
    <row r="3087" hidden="1" x14ac:dyDescent="0.3"/>
    <row r="3088" hidden="1" x14ac:dyDescent="0.3"/>
    <row r="3089" hidden="1" x14ac:dyDescent="0.3"/>
    <row r="3090" hidden="1" x14ac:dyDescent="0.3"/>
    <row r="3091" hidden="1" x14ac:dyDescent="0.3"/>
    <row r="3092" hidden="1" x14ac:dyDescent="0.3"/>
    <row r="3093" hidden="1" x14ac:dyDescent="0.3"/>
    <row r="3094" hidden="1" x14ac:dyDescent="0.3"/>
    <row r="3095" hidden="1" x14ac:dyDescent="0.3"/>
    <row r="3096" hidden="1" x14ac:dyDescent="0.3"/>
    <row r="3097" hidden="1" x14ac:dyDescent="0.3"/>
    <row r="3098" hidden="1" x14ac:dyDescent="0.3"/>
    <row r="3099" hidden="1" x14ac:dyDescent="0.3"/>
    <row r="3100" hidden="1" x14ac:dyDescent="0.3"/>
    <row r="3101" hidden="1" x14ac:dyDescent="0.3"/>
    <row r="3102" hidden="1" x14ac:dyDescent="0.3"/>
    <row r="3103" hidden="1" x14ac:dyDescent="0.3"/>
    <row r="3104" hidden="1" x14ac:dyDescent="0.3"/>
    <row r="3105" hidden="1" x14ac:dyDescent="0.3"/>
    <row r="3106" hidden="1" x14ac:dyDescent="0.3"/>
    <row r="3107" hidden="1" x14ac:dyDescent="0.3"/>
    <row r="3108" hidden="1" x14ac:dyDescent="0.3"/>
    <row r="3109" hidden="1" x14ac:dyDescent="0.3"/>
    <row r="3110" hidden="1" x14ac:dyDescent="0.3"/>
    <row r="3111" hidden="1" x14ac:dyDescent="0.3"/>
    <row r="3112" hidden="1" x14ac:dyDescent="0.3"/>
    <row r="3113" hidden="1" x14ac:dyDescent="0.3"/>
    <row r="3114" hidden="1" x14ac:dyDescent="0.3"/>
    <row r="3115" hidden="1" x14ac:dyDescent="0.3"/>
    <row r="3116" hidden="1" x14ac:dyDescent="0.3"/>
    <row r="3117" hidden="1" x14ac:dyDescent="0.3"/>
    <row r="3118" hidden="1" x14ac:dyDescent="0.3"/>
    <row r="3119" hidden="1" x14ac:dyDescent="0.3"/>
    <row r="3120" hidden="1" x14ac:dyDescent="0.3"/>
    <row r="3121" hidden="1" x14ac:dyDescent="0.3"/>
    <row r="3122" hidden="1" x14ac:dyDescent="0.3"/>
    <row r="3123" hidden="1" x14ac:dyDescent="0.3"/>
    <row r="3124" hidden="1" x14ac:dyDescent="0.3"/>
    <row r="3125" hidden="1" x14ac:dyDescent="0.3"/>
    <row r="3126" hidden="1" x14ac:dyDescent="0.3"/>
    <row r="3127" hidden="1" x14ac:dyDescent="0.3"/>
    <row r="3128" hidden="1" x14ac:dyDescent="0.3"/>
    <row r="3129" hidden="1" x14ac:dyDescent="0.3"/>
    <row r="3130" hidden="1" x14ac:dyDescent="0.3"/>
    <row r="3131" hidden="1" x14ac:dyDescent="0.3"/>
    <row r="3132" hidden="1" x14ac:dyDescent="0.3"/>
    <row r="3133" hidden="1" x14ac:dyDescent="0.3"/>
    <row r="3134" hidden="1" x14ac:dyDescent="0.3"/>
    <row r="3135" hidden="1" x14ac:dyDescent="0.3"/>
    <row r="3136" hidden="1" x14ac:dyDescent="0.3"/>
    <row r="3137" hidden="1" x14ac:dyDescent="0.3"/>
    <row r="3138" hidden="1" x14ac:dyDescent="0.3"/>
    <row r="3139" hidden="1" x14ac:dyDescent="0.3"/>
    <row r="3140" hidden="1" x14ac:dyDescent="0.3"/>
    <row r="3141" hidden="1" x14ac:dyDescent="0.3"/>
    <row r="3142" hidden="1" x14ac:dyDescent="0.3"/>
    <row r="3143" hidden="1" x14ac:dyDescent="0.3"/>
    <row r="3144" hidden="1" x14ac:dyDescent="0.3"/>
    <row r="3145" hidden="1" x14ac:dyDescent="0.3"/>
    <row r="3146" hidden="1" x14ac:dyDescent="0.3"/>
    <row r="3147" hidden="1" x14ac:dyDescent="0.3"/>
    <row r="3148" hidden="1" x14ac:dyDescent="0.3"/>
    <row r="3149" hidden="1" x14ac:dyDescent="0.3"/>
    <row r="3150" hidden="1" x14ac:dyDescent="0.3"/>
    <row r="3151" hidden="1" x14ac:dyDescent="0.3"/>
    <row r="3152" hidden="1" x14ac:dyDescent="0.3"/>
    <row r="3153" hidden="1" x14ac:dyDescent="0.3"/>
    <row r="3154" hidden="1" x14ac:dyDescent="0.3"/>
    <row r="3155" hidden="1" x14ac:dyDescent="0.3"/>
    <row r="3156" hidden="1" x14ac:dyDescent="0.3"/>
    <row r="3157" hidden="1" x14ac:dyDescent="0.3"/>
    <row r="3158" hidden="1" x14ac:dyDescent="0.3"/>
    <row r="3159" hidden="1" x14ac:dyDescent="0.3"/>
    <row r="3160" hidden="1" x14ac:dyDescent="0.3"/>
    <row r="3161" hidden="1" x14ac:dyDescent="0.3"/>
    <row r="3162" hidden="1" x14ac:dyDescent="0.3"/>
    <row r="3163" hidden="1" x14ac:dyDescent="0.3"/>
    <row r="3164" hidden="1" x14ac:dyDescent="0.3"/>
    <row r="3165" hidden="1" x14ac:dyDescent="0.3"/>
    <row r="3166" hidden="1" x14ac:dyDescent="0.3"/>
    <row r="3167" hidden="1" x14ac:dyDescent="0.3"/>
    <row r="3168" hidden="1" x14ac:dyDescent="0.3"/>
    <row r="3169" hidden="1" x14ac:dyDescent="0.3"/>
    <row r="3170" hidden="1" x14ac:dyDescent="0.3"/>
    <row r="3171" hidden="1" x14ac:dyDescent="0.3"/>
    <row r="3172" hidden="1" x14ac:dyDescent="0.3"/>
    <row r="3173" hidden="1" x14ac:dyDescent="0.3"/>
    <row r="3174" hidden="1" x14ac:dyDescent="0.3"/>
    <row r="3175" hidden="1" x14ac:dyDescent="0.3"/>
    <row r="3176" hidden="1" x14ac:dyDescent="0.3"/>
    <row r="3177" hidden="1" x14ac:dyDescent="0.3"/>
    <row r="3178" hidden="1" x14ac:dyDescent="0.3"/>
    <row r="3179" hidden="1" x14ac:dyDescent="0.3"/>
    <row r="3180" hidden="1" x14ac:dyDescent="0.3"/>
    <row r="3181" hidden="1" x14ac:dyDescent="0.3"/>
    <row r="3182" hidden="1" x14ac:dyDescent="0.3"/>
    <row r="3183" hidden="1" x14ac:dyDescent="0.3"/>
    <row r="3184" hidden="1" x14ac:dyDescent="0.3"/>
    <row r="3185" hidden="1" x14ac:dyDescent="0.3"/>
    <row r="3186" hidden="1" x14ac:dyDescent="0.3"/>
    <row r="3187" hidden="1" x14ac:dyDescent="0.3"/>
    <row r="3188" hidden="1" x14ac:dyDescent="0.3"/>
    <row r="3189" hidden="1" x14ac:dyDescent="0.3"/>
    <row r="3190" hidden="1" x14ac:dyDescent="0.3"/>
    <row r="3191" hidden="1" x14ac:dyDescent="0.3"/>
    <row r="3192" hidden="1" x14ac:dyDescent="0.3"/>
    <row r="3193" hidden="1" x14ac:dyDescent="0.3"/>
    <row r="3194" hidden="1" x14ac:dyDescent="0.3"/>
    <row r="3195" hidden="1" x14ac:dyDescent="0.3"/>
    <row r="3196" hidden="1" x14ac:dyDescent="0.3"/>
    <row r="3197" hidden="1" x14ac:dyDescent="0.3"/>
    <row r="3198" hidden="1" x14ac:dyDescent="0.3"/>
    <row r="3199" hidden="1" x14ac:dyDescent="0.3"/>
    <row r="3200" hidden="1" x14ac:dyDescent="0.3"/>
    <row r="3201" hidden="1" x14ac:dyDescent="0.3"/>
    <row r="3202" hidden="1" x14ac:dyDescent="0.3"/>
    <row r="3203" hidden="1" x14ac:dyDescent="0.3"/>
    <row r="3204" hidden="1" x14ac:dyDescent="0.3"/>
    <row r="3205" hidden="1" x14ac:dyDescent="0.3"/>
    <row r="3206" hidden="1" x14ac:dyDescent="0.3"/>
    <row r="3207" hidden="1" x14ac:dyDescent="0.3"/>
    <row r="3208" hidden="1" x14ac:dyDescent="0.3"/>
    <row r="3209" hidden="1" x14ac:dyDescent="0.3"/>
    <row r="3210" hidden="1" x14ac:dyDescent="0.3"/>
    <row r="3211" hidden="1" x14ac:dyDescent="0.3"/>
    <row r="3212" hidden="1" x14ac:dyDescent="0.3"/>
    <row r="3213" hidden="1" x14ac:dyDescent="0.3"/>
    <row r="3214" hidden="1" x14ac:dyDescent="0.3"/>
    <row r="3215" hidden="1" x14ac:dyDescent="0.3"/>
    <row r="3216" hidden="1" x14ac:dyDescent="0.3"/>
    <row r="3217" hidden="1" x14ac:dyDescent="0.3"/>
    <row r="3218" hidden="1" x14ac:dyDescent="0.3"/>
    <row r="3219" hidden="1" x14ac:dyDescent="0.3"/>
    <row r="3220" hidden="1" x14ac:dyDescent="0.3"/>
    <row r="3221" hidden="1" x14ac:dyDescent="0.3"/>
    <row r="3222" hidden="1" x14ac:dyDescent="0.3"/>
    <row r="3223" hidden="1" x14ac:dyDescent="0.3"/>
    <row r="3224" hidden="1" x14ac:dyDescent="0.3"/>
    <row r="3225" hidden="1" x14ac:dyDescent="0.3"/>
    <row r="3226" hidden="1" x14ac:dyDescent="0.3"/>
    <row r="3227" hidden="1" x14ac:dyDescent="0.3"/>
    <row r="3228" hidden="1" x14ac:dyDescent="0.3"/>
    <row r="3229" hidden="1" x14ac:dyDescent="0.3"/>
    <row r="3230" hidden="1" x14ac:dyDescent="0.3"/>
    <row r="3231" hidden="1" x14ac:dyDescent="0.3"/>
    <row r="3232" hidden="1" x14ac:dyDescent="0.3"/>
    <row r="3233" hidden="1" x14ac:dyDescent="0.3"/>
    <row r="3234" hidden="1" x14ac:dyDescent="0.3"/>
    <row r="3235" hidden="1" x14ac:dyDescent="0.3"/>
    <row r="3236" hidden="1" x14ac:dyDescent="0.3"/>
    <row r="3237" hidden="1" x14ac:dyDescent="0.3"/>
    <row r="3238" hidden="1" x14ac:dyDescent="0.3"/>
    <row r="3239" hidden="1" x14ac:dyDescent="0.3"/>
    <row r="3240" hidden="1" x14ac:dyDescent="0.3"/>
    <row r="3241" hidden="1" x14ac:dyDescent="0.3"/>
    <row r="3242" hidden="1" x14ac:dyDescent="0.3"/>
    <row r="3243" hidden="1" x14ac:dyDescent="0.3"/>
    <row r="3244" hidden="1" x14ac:dyDescent="0.3"/>
    <row r="3245" hidden="1" x14ac:dyDescent="0.3"/>
    <row r="3246" hidden="1" x14ac:dyDescent="0.3"/>
    <row r="3247" hidden="1" x14ac:dyDescent="0.3"/>
    <row r="3248" hidden="1" x14ac:dyDescent="0.3"/>
    <row r="3249" hidden="1" x14ac:dyDescent="0.3"/>
    <row r="3250" hidden="1" x14ac:dyDescent="0.3"/>
    <row r="3251" hidden="1" x14ac:dyDescent="0.3"/>
    <row r="3252" hidden="1" x14ac:dyDescent="0.3"/>
    <row r="3253" hidden="1" x14ac:dyDescent="0.3"/>
    <row r="3254" hidden="1" x14ac:dyDescent="0.3"/>
    <row r="3255" hidden="1" x14ac:dyDescent="0.3"/>
    <row r="3256" hidden="1" x14ac:dyDescent="0.3"/>
    <row r="3257" hidden="1" x14ac:dyDescent="0.3"/>
    <row r="3258" hidden="1" x14ac:dyDescent="0.3"/>
    <row r="3259" hidden="1" x14ac:dyDescent="0.3"/>
    <row r="3260" hidden="1" x14ac:dyDescent="0.3"/>
    <row r="3261" hidden="1" x14ac:dyDescent="0.3"/>
    <row r="3262" hidden="1" x14ac:dyDescent="0.3"/>
    <row r="3263" hidden="1" x14ac:dyDescent="0.3"/>
    <row r="3264" hidden="1" x14ac:dyDescent="0.3"/>
    <row r="3265" hidden="1" x14ac:dyDescent="0.3"/>
    <row r="3266" hidden="1" x14ac:dyDescent="0.3"/>
    <row r="3267" hidden="1" x14ac:dyDescent="0.3"/>
    <row r="3268" hidden="1" x14ac:dyDescent="0.3"/>
    <row r="3269" hidden="1" x14ac:dyDescent="0.3"/>
    <row r="3270" hidden="1" x14ac:dyDescent="0.3"/>
    <row r="3271" hidden="1" x14ac:dyDescent="0.3"/>
    <row r="3272" hidden="1" x14ac:dyDescent="0.3"/>
    <row r="3273" hidden="1" x14ac:dyDescent="0.3"/>
    <row r="3274" hidden="1" x14ac:dyDescent="0.3"/>
    <row r="3275" hidden="1" x14ac:dyDescent="0.3"/>
    <row r="3276" hidden="1" x14ac:dyDescent="0.3"/>
    <row r="3277" hidden="1" x14ac:dyDescent="0.3"/>
    <row r="3278" hidden="1" x14ac:dyDescent="0.3"/>
    <row r="3279" hidden="1" x14ac:dyDescent="0.3"/>
    <row r="3280" hidden="1" x14ac:dyDescent="0.3"/>
    <row r="3281" hidden="1" x14ac:dyDescent="0.3"/>
    <row r="3282" hidden="1" x14ac:dyDescent="0.3"/>
    <row r="3283" hidden="1" x14ac:dyDescent="0.3"/>
    <row r="3284" hidden="1" x14ac:dyDescent="0.3"/>
    <row r="3285" hidden="1" x14ac:dyDescent="0.3"/>
    <row r="3286" hidden="1" x14ac:dyDescent="0.3"/>
    <row r="3287" hidden="1" x14ac:dyDescent="0.3"/>
    <row r="3288" hidden="1" x14ac:dyDescent="0.3"/>
    <row r="3289" hidden="1" x14ac:dyDescent="0.3"/>
    <row r="3290" hidden="1" x14ac:dyDescent="0.3"/>
    <row r="3291" hidden="1" x14ac:dyDescent="0.3"/>
    <row r="3292" hidden="1" x14ac:dyDescent="0.3"/>
    <row r="3293" hidden="1" x14ac:dyDescent="0.3"/>
    <row r="3294" hidden="1" x14ac:dyDescent="0.3"/>
    <row r="3295" hidden="1" x14ac:dyDescent="0.3"/>
    <row r="3296" hidden="1" x14ac:dyDescent="0.3"/>
    <row r="3297" hidden="1" x14ac:dyDescent="0.3"/>
    <row r="3298" hidden="1" x14ac:dyDescent="0.3"/>
    <row r="3299" hidden="1" x14ac:dyDescent="0.3"/>
    <row r="3300" hidden="1" x14ac:dyDescent="0.3"/>
    <row r="3301" hidden="1" x14ac:dyDescent="0.3"/>
    <row r="3302" hidden="1" x14ac:dyDescent="0.3"/>
    <row r="3303" hidden="1" x14ac:dyDescent="0.3"/>
    <row r="3304" hidden="1" x14ac:dyDescent="0.3"/>
    <row r="3305" hidden="1" x14ac:dyDescent="0.3"/>
    <row r="3306" hidden="1" x14ac:dyDescent="0.3"/>
    <row r="3307" hidden="1" x14ac:dyDescent="0.3"/>
    <row r="3308" hidden="1" x14ac:dyDescent="0.3"/>
    <row r="3309" hidden="1" x14ac:dyDescent="0.3"/>
    <row r="3310" hidden="1" x14ac:dyDescent="0.3"/>
    <row r="3311" hidden="1" x14ac:dyDescent="0.3"/>
    <row r="3312" hidden="1" x14ac:dyDescent="0.3"/>
    <row r="3313" hidden="1" x14ac:dyDescent="0.3"/>
    <row r="3314" hidden="1" x14ac:dyDescent="0.3"/>
    <row r="3315" hidden="1" x14ac:dyDescent="0.3"/>
    <row r="3316" hidden="1" x14ac:dyDescent="0.3"/>
    <row r="3317" hidden="1" x14ac:dyDescent="0.3"/>
    <row r="3318" hidden="1" x14ac:dyDescent="0.3"/>
    <row r="3319" hidden="1" x14ac:dyDescent="0.3"/>
    <row r="3320" hidden="1" x14ac:dyDescent="0.3"/>
    <row r="3321" hidden="1" x14ac:dyDescent="0.3"/>
    <row r="3322" hidden="1" x14ac:dyDescent="0.3"/>
    <row r="3323" hidden="1" x14ac:dyDescent="0.3"/>
    <row r="3324" hidden="1" x14ac:dyDescent="0.3"/>
    <row r="3325" hidden="1" x14ac:dyDescent="0.3"/>
    <row r="3326" hidden="1" x14ac:dyDescent="0.3"/>
    <row r="3327" hidden="1" x14ac:dyDescent="0.3"/>
    <row r="3328" hidden="1" x14ac:dyDescent="0.3"/>
    <row r="3329" hidden="1" x14ac:dyDescent="0.3"/>
    <row r="3330" hidden="1" x14ac:dyDescent="0.3"/>
    <row r="3331" hidden="1" x14ac:dyDescent="0.3"/>
    <row r="3332" hidden="1" x14ac:dyDescent="0.3"/>
    <row r="3333" hidden="1" x14ac:dyDescent="0.3"/>
    <row r="3334" hidden="1" x14ac:dyDescent="0.3"/>
    <row r="3335" hidden="1" x14ac:dyDescent="0.3"/>
    <row r="3336" hidden="1" x14ac:dyDescent="0.3"/>
    <row r="3337" hidden="1" x14ac:dyDescent="0.3"/>
    <row r="3338" hidden="1" x14ac:dyDescent="0.3"/>
    <row r="3339" hidden="1" x14ac:dyDescent="0.3"/>
    <row r="3340" hidden="1" x14ac:dyDescent="0.3"/>
    <row r="3341" hidden="1" x14ac:dyDescent="0.3"/>
    <row r="3342" hidden="1" x14ac:dyDescent="0.3"/>
    <row r="3343" hidden="1" x14ac:dyDescent="0.3"/>
    <row r="3344" hidden="1" x14ac:dyDescent="0.3"/>
    <row r="3345" hidden="1" x14ac:dyDescent="0.3"/>
    <row r="3346" hidden="1" x14ac:dyDescent="0.3"/>
    <row r="3347" hidden="1" x14ac:dyDescent="0.3"/>
    <row r="3348" hidden="1" x14ac:dyDescent="0.3"/>
    <row r="3349" hidden="1" x14ac:dyDescent="0.3"/>
    <row r="3350" hidden="1" x14ac:dyDescent="0.3"/>
    <row r="3351" hidden="1" x14ac:dyDescent="0.3"/>
    <row r="3352" hidden="1" x14ac:dyDescent="0.3"/>
    <row r="3353" hidden="1" x14ac:dyDescent="0.3"/>
    <row r="3354" hidden="1" x14ac:dyDescent="0.3"/>
    <row r="3355" hidden="1" x14ac:dyDescent="0.3"/>
    <row r="3356" hidden="1" x14ac:dyDescent="0.3"/>
    <row r="3357" hidden="1" x14ac:dyDescent="0.3"/>
    <row r="3358" hidden="1" x14ac:dyDescent="0.3"/>
    <row r="3359" hidden="1" x14ac:dyDescent="0.3"/>
    <row r="3360" hidden="1" x14ac:dyDescent="0.3"/>
    <row r="3361" hidden="1" x14ac:dyDescent="0.3"/>
    <row r="3362" hidden="1" x14ac:dyDescent="0.3"/>
    <row r="3363" hidden="1" x14ac:dyDescent="0.3"/>
    <row r="3364" hidden="1" x14ac:dyDescent="0.3"/>
    <row r="3365" hidden="1" x14ac:dyDescent="0.3"/>
    <row r="3366" hidden="1" x14ac:dyDescent="0.3"/>
    <row r="3367" hidden="1" x14ac:dyDescent="0.3"/>
    <row r="3368" hidden="1" x14ac:dyDescent="0.3"/>
    <row r="3369" hidden="1" x14ac:dyDescent="0.3"/>
    <row r="3370" hidden="1" x14ac:dyDescent="0.3"/>
    <row r="3371" hidden="1" x14ac:dyDescent="0.3"/>
    <row r="3372" hidden="1" x14ac:dyDescent="0.3"/>
    <row r="3373" hidden="1" x14ac:dyDescent="0.3"/>
    <row r="3374" hidden="1" x14ac:dyDescent="0.3"/>
    <row r="3375" hidden="1" x14ac:dyDescent="0.3"/>
    <row r="3376" hidden="1" x14ac:dyDescent="0.3"/>
    <row r="3377" hidden="1" x14ac:dyDescent="0.3"/>
    <row r="3378" hidden="1" x14ac:dyDescent="0.3"/>
    <row r="3379" hidden="1" x14ac:dyDescent="0.3"/>
    <row r="3380" hidden="1" x14ac:dyDescent="0.3"/>
    <row r="3381" hidden="1" x14ac:dyDescent="0.3"/>
    <row r="3382" hidden="1" x14ac:dyDescent="0.3"/>
    <row r="3383" hidden="1" x14ac:dyDescent="0.3"/>
    <row r="3384" hidden="1" x14ac:dyDescent="0.3"/>
    <row r="3385" hidden="1" x14ac:dyDescent="0.3"/>
    <row r="3386" hidden="1" x14ac:dyDescent="0.3"/>
    <row r="3387" hidden="1" x14ac:dyDescent="0.3"/>
    <row r="3388" hidden="1" x14ac:dyDescent="0.3"/>
    <row r="3389" hidden="1" x14ac:dyDescent="0.3"/>
    <row r="3390" hidden="1" x14ac:dyDescent="0.3"/>
    <row r="3391" hidden="1" x14ac:dyDescent="0.3"/>
    <row r="3392" hidden="1" x14ac:dyDescent="0.3"/>
    <row r="3393" hidden="1" x14ac:dyDescent="0.3"/>
    <row r="3394" hidden="1" x14ac:dyDescent="0.3"/>
    <row r="3395" hidden="1" x14ac:dyDescent="0.3"/>
    <row r="3396" hidden="1" x14ac:dyDescent="0.3"/>
    <row r="3397" hidden="1" x14ac:dyDescent="0.3"/>
    <row r="3398" hidden="1" x14ac:dyDescent="0.3"/>
    <row r="3399" hidden="1" x14ac:dyDescent="0.3"/>
    <row r="3400" hidden="1" x14ac:dyDescent="0.3"/>
    <row r="3401" hidden="1" x14ac:dyDescent="0.3"/>
    <row r="3402" hidden="1" x14ac:dyDescent="0.3"/>
    <row r="3403" hidden="1" x14ac:dyDescent="0.3"/>
    <row r="3404" hidden="1" x14ac:dyDescent="0.3"/>
    <row r="3405" hidden="1" x14ac:dyDescent="0.3"/>
    <row r="3406" hidden="1" x14ac:dyDescent="0.3"/>
    <row r="3407" hidden="1" x14ac:dyDescent="0.3"/>
    <row r="3408" hidden="1" x14ac:dyDescent="0.3"/>
    <row r="3409" hidden="1" x14ac:dyDescent="0.3"/>
    <row r="3410" hidden="1" x14ac:dyDescent="0.3"/>
    <row r="3411" hidden="1" x14ac:dyDescent="0.3"/>
    <row r="3412" hidden="1" x14ac:dyDescent="0.3"/>
    <row r="3413" hidden="1" x14ac:dyDescent="0.3"/>
    <row r="3414" hidden="1" x14ac:dyDescent="0.3"/>
    <row r="3415" hidden="1" x14ac:dyDescent="0.3"/>
    <row r="3416" hidden="1" x14ac:dyDescent="0.3"/>
    <row r="3417" hidden="1" x14ac:dyDescent="0.3"/>
    <row r="3418" hidden="1" x14ac:dyDescent="0.3"/>
    <row r="3419" hidden="1" x14ac:dyDescent="0.3"/>
    <row r="3420" hidden="1" x14ac:dyDescent="0.3"/>
    <row r="3421" hidden="1" x14ac:dyDescent="0.3"/>
    <row r="3422" hidden="1" x14ac:dyDescent="0.3"/>
    <row r="3423" hidden="1" x14ac:dyDescent="0.3"/>
    <row r="3424" hidden="1" x14ac:dyDescent="0.3"/>
    <row r="3425" hidden="1" x14ac:dyDescent="0.3"/>
    <row r="3426" hidden="1" x14ac:dyDescent="0.3"/>
    <row r="3427" hidden="1" x14ac:dyDescent="0.3"/>
    <row r="3428" hidden="1" x14ac:dyDescent="0.3"/>
    <row r="3429" hidden="1" x14ac:dyDescent="0.3"/>
    <row r="3430" hidden="1" x14ac:dyDescent="0.3"/>
    <row r="3431" hidden="1" x14ac:dyDescent="0.3"/>
    <row r="3432" hidden="1" x14ac:dyDescent="0.3"/>
    <row r="3433" hidden="1" x14ac:dyDescent="0.3"/>
    <row r="3434" hidden="1" x14ac:dyDescent="0.3"/>
    <row r="3435" hidden="1" x14ac:dyDescent="0.3"/>
    <row r="3436" hidden="1" x14ac:dyDescent="0.3"/>
    <row r="3437" hidden="1" x14ac:dyDescent="0.3"/>
    <row r="3438" hidden="1" x14ac:dyDescent="0.3"/>
    <row r="3439" hidden="1" x14ac:dyDescent="0.3"/>
    <row r="3440" hidden="1" x14ac:dyDescent="0.3"/>
    <row r="3441" hidden="1" x14ac:dyDescent="0.3"/>
    <row r="3442" hidden="1" x14ac:dyDescent="0.3"/>
    <row r="3443" hidden="1" x14ac:dyDescent="0.3"/>
    <row r="3444" hidden="1" x14ac:dyDescent="0.3"/>
    <row r="3445" hidden="1" x14ac:dyDescent="0.3"/>
    <row r="3446" hidden="1" x14ac:dyDescent="0.3"/>
    <row r="3447" hidden="1" x14ac:dyDescent="0.3"/>
    <row r="3448" hidden="1" x14ac:dyDescent="0.3"/>
    <row r="3449" hidden="1" x14ac:dyDescent="0.3"/>
    <row r="3450" hidden="1" x14ac:dyDescent="0.3"/>
    <row r="3451" hidden="1" x14ac:dyDescent="0.3"/>
    <row r="3452" hidden="1" x14ac:dyDescent="0.3"/>
    <row r="3453" hidden="1" x14ac:dyDescent="0.3"/>
    <row r="3454" hidden="1" x14ac:dyDescent="0.3"/>
    <row r="3455" hidden="1" x14ac:dyDescent="0.3"/>
    <row r="3456" hidden="1" x14ac:dyDescent="0.3"/>
    <row r="3457" hidden="1" x14ac:dyDescent="0.3"/>
    <row r="3458" hidden="1" x14ac:dyDescent="0.3"/>
    <row r="3459" hidden="1" x14ac:dyDescent="0.3"/>
    <row r="3460" hidden="1" x14ac:dyDescent="0.3"/>
    <row r="3461" hidden="1" x14ac:dyDescent="0.3"/>
    <row r="3462" hidden="1" x14ac:dyDescent="0.3"/>
    <row r="3463" hidden="1" x14ac:dyDescent="0.3"/>
    <row r="3464" hidden="1" x14ac:dyDescent="0.3"/>
    <row r="3465" hidden="1" x14ac:dyDescent="0.3"/>
    <row r="3466" hidden="1" x14ac:dyDescent="0.3"/>
    <row r="3467" hidden="1" x14ac:dyDescent="0.3"/>
    <row r="3468" hidden="1" x14ac:dyDescent="0.3"/>
    <row r="3469" hidden="1" x14ac:dyDescent="0.3"/>
    <row r="3470" hidden="1" x14ac:dyDescent="0.3"/>
    <row r="3471" hidden="1" x14ac:dyDescent="0.3"/>
    <row r="3472" hidden="1" x14ac:dyDescent="0.3"/>
    <row r="3473" hidden="1" x14ac:dyDescent="0.3"/>
    <row r="3474" hidden="1" x14ac:dyDescent="0.3"/>
    <row r="3475" hidden="1" x14ac:dyDescent="0.3"/>
    <row r="3476" hidden="1" x14ac:dyDescent="0.3"/>
    <row r="3477" hidden="1" x14ac:dyDescent="0.3"/>
    <row r="3478" hidden="1" x14ac:dyDescent="0.3"/>
    <row r="3479" hidden="1" x14ac:dyDescent="0.3"/>
    <row r="3480" hidden="1" x14ac:dyDescent="0.3"/>
    <row r="3481" hidden="1" x14ac:dyDescent="0.3"/>
    <row r="3482" hidden="1" x14ac:dyDescent="0.3"/>
    <row r="3483" hidden="1" x14ac:dyDescent="0.3"/>
    <row r="3484" hidden="1" x14ac:dyDescent="0.3"/>
    <row r="3485" hidden="1" x14ac:dyDescent="0.3"/>
    <row r="3486" hidden="1" x14ac:dyDescent="0.3"/>
    <row r="3487" hidden="1" x14ac:dyDescent="0.3"/>
    <row r="3488" hidden="1" x14ac:dyDescent="0.3"/>
    <row r="3489" hidden="1" x14ac:dyDescent="0.3"/>
    <row r="3490" hidden="1" x14ac:dyDescent="0.3"/>
    <row r="3491" hidden="1" x14ac:dyDescent="0.3"/>
    <row r="3492" hidden="1" x14ac:dyDescent="0.3"/>
    <row r="3493" hidden="1" x14ac:dyDescent="0.3"/>
    <row r="3494" hidden="1" x14ac:dyDescent="0.3"/>
    <row r="3495" hidden="1" x14ac:dyDescent="0.3"/>
    <row r="3496" hidden="1" x14ac:dyDescent="0.3"/>
    <row r="3497" hidden="1" x14ac:dyDescent="0.3"/>
    <row r="3498" hidden="1" x14ac:dyDescent="0.3"/>
    <row r="3499" hidden="1" x14ac:dyDescent="0.3"/>
    <row r="3500" hidden="1" x14ac:dyDescent="0.3"/>
    <row r="3501" hidden="1" x14ac:dyDescent="0.3"/>
    <row r="3502" hidden="1" x14ac:dyDescent="0.3"/>
    <row r="3503" hidden="1" x14ac:dyDescent="0.3"/>
    <row r="3504" hidden="1" x14ac:dyDescent="0.3"/>
    <row r="3505" hidden="1" x14ac:dyDescent="0.3"/>
    <row r="3506" hidden="1" x14ac:dyDescent="0.3"/>
    <row r="3507" hidden="1" x14ac:dyDescent="0.3"/>
    <row r="3508" hidden="1" x14ac:dyDescent="0.3"/>
    <row r="3509" hidden="1" x14ac:dyDescent="0.3"/>
    <row r="3510" hidden="1" x14ac:dyDescent="0.3"/>
    <row r="3511" hidden="1" x14ac:dyDescent="0.3"/>
    <row r="3512" hidden="1" x14ac:dyDescent="0.3"/>
    <row r="3513" hidden="1" x14ac:dyDescent="0.3"/>
    <row r="3514" hidden="1" x14ac:dyDescent="0.3"/>
    <row r="3515" hidden="1" x14ac:dyDescent="0.3"/>
    <row r="3516" hidden="1" x14ac:dyDescent="0.3"/>
    <row r="3517" hidden="1" x14ac:dyDescent="0.3"/>
    <row r="3518" hidden="1" x14ac:dyDescent="0.3"/>
    <row r="3519" hidden="1" x14ac:dyDescent="0.3"/>
    <row r="3520" hidden="1" x14ac:dyDescent="0.3"/>
    <row r="3521" hidden="1" x14ac:dyDescent="0.3"/>
    <row r="3522" hidden="1" x14ac:dyDescent="0.3"/>
    <row r="3523" hidden="1" x14ac:dyDescent="0.3"/>
    <row r="3524" hidden="1" x14ac:dyDescent="0.3"/>
    <row r="3525" hidden="1" x14ac:dyDescent="0.3"/>
    <row r="3526" hidden="1" x14ac:dyDescent="0.3"/>
    <row r="3527" hidden="1" x14ac:dyDescent="0.3"/>
    <row r="3528" hidden="1" x14ac:dyDescent="0.3"/>
    <row r="3529" hidden="1" x14ac:dyDescent="0.3"/>
    <row r="3530" hidden="1" x14ac:dyDescent="0.3"/>
    <row r="3531" hidden="1" x14ac:dyDescent="0.3"/>
    <row r="3532" hidden="1" x14ac:dyDescent="0.3"/>
    <row r="3533" hidden="1" x14ac:dyDescent="0.3"/>
    <row r="3534" hidden="1" x14ac:dyDescent="0.3"/>
    <row r="3535" hidden="1" x14ac:dyDescent="0.3"/>
    <row r="3536" hidden="1" x14ac:dyDescent="0.3"/>
    <row r="3537" hidden="1" x14ac:dyDescent="0.3"/>
    <row r="3538" hidden="1" x14ac:dyDescent="0.3"/>
    <row r="3539" hidden="1" x14ac:dyDescent="0.3"/>
    <row r="3540" hidden="1" x14ac:dyDescent="0.3"/>
    <row r="3541" hidden="1" x14ac:dyDescent="0.3"/>
    <row r="3542" hidden="1" x14ac:dyDescent="0.3"/>
    <row r="3543" hidden="1" x14ac:dyDescent="0.3"/>
    <row r="3544" hidden="1" x14ac:dyDescent="0.3"/>
    <row r="3545" hidden="1" x14ac:dyDescent="0.3"/>
    <row r="3546" hidden="1" x14ac:dyDescent="0.3"/>
    <row r="3547" hidden="1" x14ac:dyDescent="0.3"/>
    <row r="3548" hidden="1" x14ac:dyDescent="0.3"/>
    <row r="3549" hidden="1" x14ac:dyDescent="0.3"/>
    <row r="3550" hidden="1" x14ac:dyDescent="0.3"/>
    <row r="3551" hidden="1" x14ac:dyDescent="0.3"/>
    <row r="3552" hidden="1" x14ac:dyDescent="0.3"/>
    <row r="3553" hidden="1" x14ac:dyDescent="0.3"/>
    <row r="3554" hidden="1" x14ac:dyDescent="0.3"/>
    <row r="3555" hidden="1" x14ac:dyDescent="0.3"/>
    <row r="3556" hidden="1" x14ac:dyDescent="0.3"/>
    <row r="3557" hidden="1" x14ac:dyDescent="0.3"/>
    <row r="3558" hidden="1" x14ac:dyDescent="0.3"/>
    <row r="3559" hidden="1" x14ac:dyDescent="0.3"/>
    <row r="3560" hidden="1" x14ac:dyDescent="0.3"/>
    <row r="3561" hidden="1" x14ac:dyDescent="0.3"/>
    <row r="3562" hidden="1" x14ac:dyDescent="0.3"/>
    <row r="3563" hidden="1" x14ac:dyDescent="0.3"/>
    <row r="3564" hidden="1" x14ac:dyDescent="0.3"/>
    <row r="3565" hidden="1" x14ac:dyDescent="0.3"/>
    <row r="3566" hidden="1" x14ac:dyDescent="0.3"/>
    <row r="3567" hidden="1" x14ac:dyDescent="0.3"/>
    <row r="3568" hidden="1" x14ac:dyDescent="0.3"/>
    <row r="3569" hidden="1" x14ac:dyDescent="0.3"/>
    <row r="3570" hidden="1" x14ac:dyDescent="0.3"/>
    <row r="3571" hidden="1" x14ac:dyDescent="0.3"/>
    <row r="3572" hidden="1" x14ac:dyDescent="0.3"/>
    <row r="3573" hidden="1" x14ac:dyDescent="0.3"/>
    <row r="3574" hidden="1" x14ac:dyDescent="0.3"/>
    <row r="3575" hidden="1" x14ac:dyDescent="0.3"/>
    <row r="3576" hidden="1" x14ac:dyDescent="0.3"/>
    <row r="3577" hidden="1" x14ac:dyDescent="0.3"/>
    <row r="3578" hidden="1" x14ac:dyDescent="0.3"/>
    <row r="3579" hidden="1" x14ac:dyDescent="0.3"/>
    <row r="3580" hidden="1" x14ac:dyDescent="0.3"/>
    <row r="3581" hidden="1" x14ac:dyDescent="0.3"/>
    <row r="3582" hidden="1" x14ac:dyDescent="0.3"/>
    <row r="3583" hidden="1" x14ac:dyDescent="0.3"/>
    <row r="3584" hidden="1" x14ac:dyDescent="0.3"/>
    <row r="3585" hidden="1" x14ac:dyDescent="0.3"/>
    <row r="3586" hidden="1" x14ac:dyDescent="0.3"/>
    <row r="3587" hidden="1" x14ac:dyDescent="0.3"/>
    <row r="3588" hidden="1" x14ac:dyDescent="0.3"/>
    <row r="3589" hidden="1" x14ac:dyDescent="0.3"/>
    <row r="3590" hidden="1" x14ac:dyDescent="0.3"/>
    <row r="3591" hidden="1" x14ac:dyDescent="0.3"/>
    <row r="3592" hidden="1" x14ac:dyDescent="0.3"/>
    <row r="3593" hidden="1" x14ac:dyDescent="0.3"/>
    <row r="3594" hidden="1" x14ac:dyDescent="0.3"/>
    <row r="3595" hidden="1" x14ac:dyDescent="0.3"/>
    <row r="3596" hidden="1" x14ac:dyDescent="0.3"/>
    <row r="3597" hidden="1" x14ac:dyDescent="0.3"/>
    <row r="3598" hidden="1" x14ac:dyDescent="0.3"/>
    <row r="3599" hidden="1" x14ac:dyDescent="0.3"/>
    <row r="3600" hidden="1" x14ac:dyDescent="0.3"/>
    <row r="3601" hidden="1" x14ac:dyDescent="0.3"/>
    <row r="3602" hidden="1" x14ac:dyDescent="0.3"/>
    <row r="3603" hidden="1" x14ac:dyDescent="0.3"/>
    <row r="3604" hidden="1" x14ac:dyDescent="0.3"/>
    <row r="3605" hidden="1" x14ac:dyDescent="0.3"/>
    <row r="3606" hidden="1" x14ac:dyDescent="0.3"/>
    <row r="3607" hidden="1" x14ac:dyDescent="0.3"/>
    <row r="3608" hidden="1" x14ac:dyDescent="0.3"/>
    <row r="3609" hidden="1" x14ac:dyDescent="0.3"/>
    <row r="3610" hidden="1" x14ac:dyDescent="0.3"/>
    <row r="3611" hidden="1" x14ac:dyDescent="0.3"/>
    <row r="3612" hidden="1" x14ac:dyDescent="0.3"/>
    <row r="3613" hidden="1" x14ac:dyDescent="0.3"/>
    <row r="3614" hidden="1" x14ac:dyDescent="0.3"/>
    <row r="3615" hidden="1" x14ac:dyDescent="0.3"/>
    <row r="3616" hidden="1" x14ac:dyDescent="0.3"/>
    <row r="3617" hidden="1" x14ac:dyDescent="0.3"/>
    <row r="3618" hidden="1" x14ac:dyDescent="0.3"/>
    <row r="3619" hidden="1" x14ac:dyDescent="0.3"/>
    <row r="3620" hidden="1" x14ac:dyDescent="0.3"/>
    <row r="3621" hidden="1" x14ac:dyDescent="0.3"/>
    <row r="3622" hidden="1" x14ac:dyDescent="0.3"/>
    <row r="3623" hidden="1" x14ac:dyDescent="0.3"/>
    <row r="3624" hidden="1" x14ac:dyDescent="0.3"/>
    <row r="3625" hidden="1" x14ac:dyDescent="0.3"/>
    <row r="3626" hidden="1" x14ac:dyDescent="0.3"/>
    <row r="3627" hidden="1" x14ac:dyDescent="0.3"/>
    <row r="3628" hidden="1" x14ac:dyDescent="0.3"/>
    <row r="3629" hidden="1" x14ac:dyDescent="0.3"/>
    <row r="3630" hidden="1" x14ac:dyDescent="0.3"/>
    <row r="3631" hidden="1" x14ac:dyDescent="0.3"/>
    <row r="3632" hidden="1" x14ac:dyDescent="0.3"/>
    <row r="3633" hidden="1" x14ac:dyDescent="0.3"/>
    <row r="3634" hidden="1" x14ac:dyDescent="0.3"/>
    <row r="3635" hidden="1" x14ac:dyDescent="0.3"/>
    <row r="3636" hidden="1" x14ac:dyDescent="0.3"/>
    <row r="3637" hidden="1" x14ac:dyDescent="0.3"/>
    <row r="3638" hidden="1" x14ac:dyDescent="0.3"/>
    <row r="3639" hidden="1" x14ac:dyDescent="0.3"/>
    <row r="3640" hidden="1" x14ac:dyDescent="0.3"/>
    <row r="3641" hidden="1" x14ac:dyDescent="0.3"/>
    <row r="3642" hidden="1" x14ac:dyDescent="0.3"/>
    <row r="3643" hidden="1" x14ac:dyDescent="0.3"/>
    <row r="3644" hidden="1" x14ac:dyDescent="0.3"/>
    <row r="3645" hidden="1" x14ac:dyDescent="0.3"/>
    <row r="3646" hidden="1" x14ac:dyDescent="0.3"/>
    <row r="3647" hidden="1" x14ac:dyDescent="0.3"/>
    <row r="3648" hidden="1" x14ac:dyDescent="0.3"/>
    <row r="3649" hidden="1" x14ac:dyDescent="0.3"/>
    <row r="3650" hidden="1" x14ac:dyDescent="0.3"/>
    <row r="3651" hidden="1" x14ac:dyDescent="0.3"/>
    <row r="3652" hidden="1" x14ac:dyDescent="0.3"/>
    <row r="3653" hidden="1" x14ac:dyDescent="0.3"/>
    <row r="3654" hidden="1" x14ac:dyDescent="0.3"/>
    <row r="3655" hidden="1" x14ac:dyDescent="0.3"/>
    <row r="3656" hidden="1" x14ac:dyDescent="0.3"/>
    <row r="3657" hidden="1" x14ac:dyDescent="0.3"/>
    <row r="3658" hidden="1" x14ac:dyDescent="0.3"/>
    <row r="3659" hidden="1" x14ac:dyDescent="0.3"/>
    <row r="3660" hidden="1" x14ac:dyDescent="0.3"/>
    <row r="3661" hidden="1" x14ac:dyDescent="0.3"/>
    <row r="3662" hidden="1" x14ac:dyDescent="0.3"/>
    <row r="3663" hidden="1" x14ac:dyDescent="0.3"/>
    <row r="3664" hidden="1" x14ac:dyDescent="0.3"/>
    <row r="3665" hidden="1" x14ac:dyDescent="0.3"/>
    <row r="3666" hidden="1" x14ac:dyDescent="0.3"/>
    <row r="3667" hidden="1" x14ac:dyDescent="0.3"/>
    <row r="3668" hidden="1" x14ac:dyDescent="0.3"/>
    <row r="3669" hidden="1" x14ac:dyDescent="0.3"/>
    <row r="3670" hidden="1" x14ac:dyDescent="0.3"/>
    <row r="3671" hidden="1" x14ac:dyDescent="0.3"/>
    <row r="3672" hidden="1" x14ac:dyDescent="0.3"/>
    <row r="3673" hidden="1" x14ac:dyDescent="0.3"/>
    <row r="3674" hidden="1" x14ac:dyDescent="0.3"/>
    <row r="3675" hidden="1" x14ac:dyDescent="0.3"/>
    <row r="3676" hidden="1" x14ac:dyDescent="0.3"/>
    <row r="3677" hidden="1" x14ac:dyDescent="0.3"/>
    <row r="3678" hidden="1" x14ac:dyDescent="0.3"/>
    <row r="3679" hidden="1" x14ac:dyDescent="0.3"/>
    <row r="3680" hidden="1" x14ac:dyDescent="0.3"/>
    <row r="3681" hidden="1" x14ac:dyDescent="0.3"/>
    <row r="3682" hidden="1" x14ac:dyDescent="0.3"/>
    <row r="3683" hidden="1" x14ac:dyDescent="0.3"/>
    <row r="3684" hidden="1" x14ac:dyDescent="0.3"/>
    <row r="3685" hidden="1" x14ac:dyDescent="0.3"/>
    <row r="3686" hidden="1" x14ac:dyDescent="0.3"/>
    <row r="3687" hidden="1" x14ac:dyDescent="0.3"/>
    <row r="3688" hidden="1" x14ac:dyDescent="0.3"/>
    <row r="3689" hidden="1" x14ac:dyDescent="0.3"/>
    <row r="3690" hidden="1" x14ac:dyDescent="0.3"/>
    <row r="3691" hidden="1" x14ac:dyDescent="0.3"/>
    <row r="3692" hidden="1" x14ac:dyDescent="0.3"/>
    <row r="3693" hidden="1" x14ac:dyDescent="0.3"/>
    <row r="3694" hidden="1" x14ac:dyDescent="0.3"/>
    <row r="3695" hidden="1" x14ac:dyDescent="0.3"/>
    <row r="3696" hidden="1" x14ac:dyDescent="0.3"/>
    <row r="3697" hidden="1" x14ac:dyDescent="0.3"/>
    <row r="3698" hidden="1" x14ac:dyDescent="0.3"/>
    <row r="3699" hidden="1" x14ac:dyDescent="0.3"/>
    <row r="3700" hidden="1" x14ac:dyDescent="0.3"/>
    <row r="3701" hidden="1" x14ac:dyDescent="0.3"/>
    <row r="3702" hidden="1" x14ac:dyDescent="0.3"/>
    <row r="3703" hidden="1" x14ac:dyDescent="0.3"/>
    <row r="3704" hidden="1" x14ac:dyDescent="0.3"/>
    <row r="3705" hidden="1" x14ac:dyDescent="0.3"/>
    <row r="3706" hidden="1" x14ac:dyDescent="0.3"/>
    <row r="3707" hidden="1" x14ac:dyDescent="0.3"/>
    <row r="3708" hidden="1" x14ac:dyDescent="0.3"/>
    <row r="3709" hidden="1" x14ac:dyDescent="0.3"/>
    <row r="3710" hidden="1" x14ac:dyDescent="0.3"/>
    <row r="3711" hidden="1" x14ac:dyDescent="0.3"/>
    <row r="3712" hidden="1" x14ac:dyDescent="0.3"/>
    <row r="3713" hidden="1" x14ac:dyDescent="0.3"/>
    <row r="3714" hidden="1" x14ac:dyDescent="0.3"/>
    <row r="3715" hidden="1" x14ac:dyDescent="0.3"/>
    <row r="3716" hidden="1" x14ac:dyDescent="0.3"/>
    <row r="3717" hidden="1" x14ac:dyDescent="0.3"/>
    <row r="3718" hidden="1" x14ac:dyDescent="0.3"/>
    <row r="3719" hidden="1" x14ac:dyDescent="0.3"/>
    <row r="3720" hidden="1" x14ac:dyDescent="0.3"/>
    <row r="3721" hidden="1" x14ac:dyDescent="0.3"/>
    <row r="3722" hidden="1" x14ac:dyDescent="0.3"/>
    <row r="3723" hidden="1" x14ac:dyDescent="0.3"/>
    <row r="3724" hidden="1" x14ac:dyDescent="0.3"/>
    <row r="3725" hidden="1" x14ac:dyDescent="0.3"/>
    <row r="3726" hidden="1" x14ac:dyDescent="0.3"/>
    <row r="3727" hidden="1" x14ac:dyDescent="0.3"/>
    <row r="3728" hidden="1" x14ac:dyDescent="0.3"/>
    <row r="3729" hidden="1" x14ac:dyDescent="0.3"/>
    <row r="3730" hidden="1" x14ac:dyDescent="0.3"/>
    <row r="3731" hidden="1" x14ac:dyDescent="0.3"/>
    <row r="3732" hidden="1" x14ac:dyDescent="0.3"/>
    <row r="3733" hidden="1" x14ac:dyDescent="0.3"/>
    <row r="3734" hidden="1" x14ac:dyDescent="0.3"/>
    <row r="3735" hidden="1" x14ac:dyDescent="0.3"/>
    <row r="3736" hidden="1" x14ac:dyDescent="0.3"/>
    <row r="3737" hidden="1" x14ac:dyDescent="0.3"/>
    <row r="3738" hidden="1" x14ac:dyDescent="0.3"/>
    <row r="3739" hidden="1" x14ac:dyDescent="0.3"/>
    <row r="3740" hidden="1" x14ac:dyDescent="0.3"/>
    <row r="3741" hidden="1" x14ac:dyDescent="0.3"/>
    <row r="3742" hidden="1" x14ac:dyDescent="0.3"/>
    <row r="3743" hidden="1" x14ac:dyDescent="0.3"/>
    <row r="3744" hidden="1" x14ac:dyDescent="0.3"/>
    <row r="3745" hidden="1" x14ac:dyDescent="0.3"/>
    <row r="3746" hidden="1" x14ac:dyDescent="0.3"/>
    <row r="3747" hidden="1" x14ac:dyDescent="0.3"/>
    <row r="3748" hidden="1" x14ac:dyDescent="0.3"/>
    <row r="3749" hidden="1" x14ac:dyDescent="0.3"/>
    <row r="3750" hidden="1" x14ac:dyDescent="0.3"/>
    <row r="3751" hidden="1" x14ac:dyDescent="0.3"/>
    <row r="3752" hidden="1" x14ac:dyDescent="0.3"/>
    <row r="3753" hidden="1" x14ac:dyDescent="0.3"/>
    <row r="3754" hidden="1" x14ac:dyDescent="0.3"/>
    <row r="3755" hidden="1" x14ac:dyDescent="0.3"/>
    <row r="3756" hidden="1" x14ac:dyDescent="0.3"/>
    <row r="3757" hidden="1" x14ac:dyDescent="0.3"/>
    <row r="3758" hidden="1" x14ac:dyDescent="0.3"/>
    <row r="3759" hidden="1" x14ac:dyDescent="0.3"/>
    <row r="3760" hidden="1" x14ac:dyDescent="0.3"/>
    <row r="3761" hidden="1" x14ac:dyDescent="0.3"/>
    <row r="3762" hidden="1" x14ac:dyDescent="0.3"/>
    <row r="3763" hidden="1" x14ac:dyDescent="0.3"/>
    <row r="3764" hidden="1" x14ac:dyDescent="0.3"/>
    <row r="3765" hidden="1" x14ac:dyDescent="0.3"/>
    <row r="3766" hidden="1" x14ac:dyDescent="0.3"/>
    <row r="3767" hidden="1" x14ac:dyDescent="0.3"/>
    <row r="3768" hidden="1" x14ac:dyDescent="0.3"/>
    <row r="3769" hidden="1" x14ac:dyDescent="0.3"/>
    <row r="3770" hidden="1" x14ac:dyDescent="0.3"/>
    <row r="3771" hidden="1" x14ac:dyDescent="0.3"/>
    <row r="3772" hidden="1" x14ac:dyDescent="0.3"/>
    <row r="3773" hidden="1" x14ac:dyDescent="0.3"/>
    <row r="3774" hidden="1" x14ac:dyDescent="0.3"/>
    <row r="3775" hidden="1" x14ac:dyDescent="0.3"/>
    <row r="3776" hidden="1" x14ac:dyDescent="0.3"/>
    <row r="3777" hidden="1" x14ac:dyDescent="0.3"/>
    <row r="3778" hidden="1" x14ac:dyDescent="0.3"/>
    <row r="3779" hidden="1" x14ac:dyDescent="0.3"/>
    <row r="3780" hidden="1" x14ac:dyDescent="0.3"/>
    <row r="3781" hidden="1" x14ac:dyDescent="0.3"/>
    <row r="3782" hidden="1" x14ac:dyDescent="0.3"/>
    <row r="3783" hidden="1" x14ac:dyDescent="0.3"/>
    <row r="3784" hidden="1" x14ac:dyDescent="0.3"/>
    <row r="3785" hidden="1" x14ac:dyDescent="0.3"/>
    <row r="3786" hidden="1" x14ac:dyDescent="0.3"/>
    <row r="3787" hidden="1" x14ac:dyDescent="0.3"/>
    <row r="3788" hidden="1" x14ac:dyDescent="0.3"/>
    <row r="3789" hidden="1" x14ac:dyDescent="0.3"/>
    <row r="3790" hidden="1" x14ac:dyDescent="0.3"/>
    <row r="3791" hidden="1" x14ac:dyDescent="0.3"/>
    <row r="3792" hidden="1" x14ac:dyDescent="0.3"/>
    <row r="3793" hidden="1" x14ac:dyDescent="0.3"/>
    <row r="3794" hidden="1" x14ac:dyDescent="0.3"/>
    <row r="3795" hidden="1" x14ac:dyDescent="0.3"/>
    <row r="3796" hidden="1" x14ac:dyDescent="0.3"/>
    <row r="3797" hidden="1" x14ac:dyDescent="0.3"/>
    <row r="3798" hidden="1" x14ac:dyDescent="0.3"/>
    <row r="3799" hidden="1" x14ac:dyDescent="0.3"/>
    <row r="3800" hidden="1" x14ac:dyDescent="0.3"/>
    <row r="3801" hidden="1" x14ac:dyDescent="0.3"/>
    <row r="3802" hidden="1" x14ac:dyDescent="0.3"/>
    <row r="3803" hidden="1" x14ac:dyDescent="0.3"/>
    <row r="3804" hidden="1" x14ac:dyDescent="0.3"/>
    <row r="3805" hidden="1" x14ac:dyDescent="0.3"/>
    <row r="3806" hidden="1" x14ac:dyDescent="0.3"/>
    <row r="3807" hidden="1" x14ac:dyDescent="0.3"/>
    <row r="3808" hidden="1" x14ac:dyDescent="0.3"/>
    <row r="3809" hidden="1" x14ac:dyDescent="0.3"/>
    <row r="3810" hidden="1" x14ac:dyDescent="0.3"/>
    <row r="3811" hidden="1" x14ac:dyDescent="0.3"/>
    <row r="3812" hidden="1" x14ac:dyDescent="0.3"/>
    <row r="3813" hidden="1" x14ac:dyDescent="0.3"/>
    <row r="3814" hidden="1" x14ac:dyDescent="0.3"/>
    <row r="3815" hidden="1" x14ac:dyDescent="0.3"/>
    <row r="3816" hidden="1" x14ac:dyDescent="0.3"/>
    <row r="3817" hidden="1" x14ac:dyDescent="0.3"/>
    <row r="3818" hidden="1" x14ac:dyDescent="0.3"/>
    <row r="3819" hidden="1" x14ac:dyDescent="0.3"/>
    <row r="3820" hidden="1" x14ac:dyDescent="0.3"/>
    <row r="3821" hidden="1" x14ac:dyDescent="0.3"/>
    <row r="3822" hidden="1" x14ac:dyDescent="0.3"/>
    <row r="3823" hidden="1" x14ac:dyDescent="0.3"/>
    <row r="3824" hidden="1" x14ac:dyDescent="0.3"/>
    <row r="3825" hidden="1" x14ac:dyDescent="0.3"/>
    <row r="3826" hidden="1" x14ac:dyDescent="0.3"/>
    <row r="3827" hidden="1" x14ac:dyDescent="0.3"/>
    <row r="3828" hidden="1" x14ac:dyDescent="0.3"/>
    <row r="3829" hidden="1" x14ac:dyDescent="0.3"/>
    <row r="3830" hidden="1" x14ac:dyDescent="0.3"/>
    <row r="3831" hidden="1" x14ac:dyDescent="0.3"/>
    <row r="3832" hidden="1" x14ac:dyDescent="0.3"/>
    <row r="3833" hidden="1" x14ac:dyDescent="0.3"/>
    <row r="3834" hidden="1" x14ac:dyDescent="0.3"/>
    <row r="3835" hidden="1" x14ac:dyDescent="0.3"/>
    <row r="3836" hidden="1" x14ac:dyDescent="0.3"/>
    <row r="3837" hidden="1" x14ac:dyDescent="0.3"/>
    <row r="3838" hidden="1" x14ac:dyDescent="0.3"/>
    <row r="3839" hidden="1" x14ac:dyDescent="0.3"/>
    <row r="3840" hidden="1" x14ac:dyDescent="0.3"/>
    <row r="3841" hidden="1" x14ac:dyDescent="0.3"/>
    <row r="3842" hidden="1" x14ac:dyDescent="0.3"/>
    <row r="3843" hidden="1" x14ac:dyDescent="0.3"/>
    <row r="3844" hidden="1" x14ac:dyDescent="0.3"/>
    <row r="3845" hidden="1" x14ac:dyDescent="0.3"/>
    <row r="3846" hidden="1" x14ac:dyDescent="0.3"/>
    <row r="3847" hidden="1" x14ac:dyDescent="0.3"/>
    <row r="3848" hidden="1" x14ac:dyDescent="0.3"/>
    <row r="3849" hidden="1" x14ac:dyDescent="0.3"/>
    <row r="3850" hidden="1" x14ac:dyDescent="0.3"/>
    <row r="3851" hidden="1" x14ac:dyDescent="0.3"/>
    <row r="3852" hidden="1" x14ac:dyDescent="0.3"/>
    <row r="3853" hidden="1" x14ac:dyDescent="0.3"/>
    <row r="3854" hidden="1" x14ac:dyDescent="0.3"/>
    <row r="3855" hidden="1" x14ac:dyDescent="0.3"/>
    <row r="3856" hidden="1" x14ac:dyDescent="0.3"/>
    <row r="3857" hidden="1" x14ac:dyDescent="0.3"/>
    <row r="3858" hidden="1" x14ac:dyDescent="0.3"/>
    <row r="3859" hidden="1" x14ac:dyDescent="0.3"/>
    <row r="3860" hidden="1" x14ac:dyDescent="0.3"/>
    <row r="3861" hidden="1" x14ac:dyDescent="0.3"/>
    <row r="3862" hidden="1" x14ac:dyDescent="0.3"/>
    <row r="3863" hidden="1" x14ac:dyDescent="0.3"/>
    <row r="3864" hidden="1" x14ac:dyDescent="0.3"/>
    <row r="3865" hidden="1" x14ac:dyDescent="0.3"/>
    <row r="3866" hidden="1" x14ac:dyDescent="0.3"/>
    <row r="3867" hidden="1" x14ac:dyDescent="0.3"/>
    <row r="3868" hidden="1" x14ac:dyDescent="0.3"/>
    <row r="3869" hidden="1" x14ac:dyDescent="0.3"/>
    <row r="3870" hidden="1" x14ac:dyDescent="0.3"/>
    <row r="3871" hidden="1" x14ac:dyDescent="0.3"/>
    <row r="3872" hidden="1" x14ac:dyDescent="0.3"/>
    <row r="3873" hidden="1" x14ac:dyDescent="0.3"/>
    <row r="3874" hidden="1" x14ac:dyDescent="0.3"/>
    <row r="3875" hidden="1" x14ac:dyDescent="0.3"/>
    <row r="3876" hidden="1" x14ac:dyDescent="0.3"/>
    <row r="3877" hidden="1" x14ac:dyDescent="0.3"/>
    <row r="3878" hidden="1" x14ac:dyDescent="0.3"/>
    <row r="3879" hidden="1" x14ac:dyDescent="0.3"/>
    <row r="3880" hidden="1" x14ac:dyDescent="0.3"/>
    <row r="3881" hidden="1" x14ac:dyDescent="0.3"/>
    <row r="3882" hidden="1" x14ac:dyDescent="0.3"/>
    <row r="3883" hidden="1" x14ac:dyDescent="0.3"/>
    <row r="3884" hidden="1" x14ac:dyDescent="0.3"/>
    <row r="3885" hidden="1" x14ac:dyDescent="0.3"/>
    <row r="3886" hidden="1" x14ac:dyDescent="0.3"/>
    <row r="3887" hidden="1" x14ac:dyDescent="0.3"/>
    <row r="3888" hidden="1" x14ac:dyDescent="0.3"/>
    <row r="3889" hidden="1" x14ac:dyDescent="0.3"/>
    <row r="3890" hidden="1" x14ac:dyDescent="0.3"/>
    <row r="3891" hidden="1" x14ac:dyDescent="0.3"/>
    <row r="3892" hidden="1" x14ac:dyDescent="0.3"/>
    <row r="3893" hidden="1" x14ac:dyDescent="0.3"/>
    <row r="3894" hidden="1" x14ac:dyDescent="0.3"/>
    <row r="3895" hidden="1" x14ac:dyDescent="0.3"/>
    <row r="3896" hidden="1" x14ac:dyDescent="0.3"/>
    <row r="3897" hidden="1" x14ac:dyDescent="0.3"/>
    <row r="3898" hidden="1" x14ac:dyDescent="0.3"/>
    <row r="3899" hidden="1" x14ac:dyDescent="0.3"/>
    <row r="3900" hidden="1" x14ac:dyDescent="0.3"/>
    <row r="3901" hidden="1" x14ac:dyDescent="0.3"/>
    <row r="3902" hidden="1" x14ac:dyDescent="0.3"/>
    <row r="3903" hidden="1" x14ac:dyDescent="0.3"/>
    <row r="3904" hidden="1" x14ac:dyDescent="0.3"/>
    <row r="3905" hidden="1" x14ac:dyDescent="0.3"/>
    <row r="3906" hidden="1" x14ac:dyDescent="0.3"/>
    <row r="3907" hidden="1" x14ac:dyDescent="0.3"/>
    <row r="3908" hidden="1" x14ac:dyDescent="0.3"/>
    <row r="3909" hidden="1" x14ac:dyDescent="0.3"/>
    <row r="3910" hidden="1" x14ac:dyDescent="0.3"/>
    <row r="3911" hidden="1" x14ac:dyDescent="0.3"/>
    <row r="3912" hidden="1" x14ac:dyDescent="0.3"/>
    <row r="3913" hidden="1" x14ac:dyDescent="0.3"/>
    <row r="3914" hidden="1" x14ac:dyDescent="0.3"/>
    <row r="3915" hidden="1" x14ac:dyDescent="0.3"/>
    <row r="3916" hidden="1" x14ac:dyDescent="0.3"/>
    <row r="3917" hidden="1" x14ac:dyDescent="0.3"/>
    <row r="3918" hidden="1" x14ac:dyDescent="0.3"/>
    <row r="3919" hidden="1" x14ac:dyDescent="0.3"/>
    <row r="3920" hidden="1" x14ac:dyDescent="0.3"/>
    <row r="3921" hidden="1" x14ac:dyDescent="0.3"/>
    <row r="3922" hidden="1" x14ac:dyDescent="0.3"/>
    <row r="3923" hidden="1" x14ac:dyDescent="0.3"/>
    <row r="3924" hidden="1" x14ac:dyDescent="0.3"/>
    <row r="3925" hidden="1" x14ac:dyDescent="0.3"/>
    <row r="3926" hidden="1" x14ac:dyDescent="0.3"/>
    <row r="3927" hidden="1" x14ac:dyDescent="0.3"/>
    <row r="3928" hidden="1" x14ac:dyDescent="0.3"/>
    <row r="3929" hidden="1" x14ac:dyDescent="0.3"/>
    <row r="3930" hidden="1" x14ac:dyDescent="0.3"/>
    <row r="3931" hidden="1" x14ac:dyDescent="0.3"/>
    <row r="3932" hidden="1" x14ac:dyDescent="0.3"/>
    <row r="3933" hidden="1" x14ac:dyDescent="0.3"/>
    <row r="3934" hidden="1" x14ac:dyDescent="0.3"/>
    <row r="3935" hidden="1" x14ac:dyDescent="0.3"/>
    <row r="3936" hidden="1" x14ac:dyDescent="0.3"/>
    <row r="3937" hidden="1" x14ac:dyDescent="0.3"/>
    <row r="3938" hidden="1" x14ac:dyDescent="0.3"/>
    <row r="3939" hidden="1" x14ac:dyDescent="0.3"/>
    <row r="3940" hidden="1" x14ac:dyDescent="0.3"/>
    <row r="3941" hidden="1" x14ac:dyDescent="0.3"/>
    <row r="3942" hidden="1" x14ac:dyDescent="0.3"/>
    <row r="3943" hidden="1" x14ac:dyDescent="0.3"/>
    <row r="3944" hidden="1" x14ac:dyDescent="0.3"/>
    <row r="3945" hidden="1" x14ac:dyDescent="0.3"/>
    <row r="3946" hidden="1" x14ac:dyDescent="0.3"/>
    <row r="3947" hidden="1" x14ac:dyDescent="0.3"/>
    <row r="3948" hidden="1" x14ac:dyDescent="0.3"/>
    <row r="3949" hidden="1" x14ac:dyDescent="0.3"/>
    <row r="3950" hidden="1" x14ac:dyDescent="0.3"/>
    <row r="3951" hidden="1" x14ac:dyDescent="0.3"/>
    <row r="3952" hidden="1" x14ac:dyDescent="0.3"/>
    <row r="3953" hidden="1" x14ac:dyDescent="0.3"/>
    <row r="3954" hidden="1" x14ac:dyDescent="0.3"/>
    <row r="3955" hidden="1" x14ac:dyDescent="0.3"/>
    <row r="3956" hidden="1" x14ac:dyDescent="0.3"/>
    <row r="3957" hidden="1" x14ac:dyDescent="0.3"/>
    <row r="3958" hidden="1" x14ac:dyDescent="0.3"/>
    <row r="3959" hidden="1" x14ac:dyDescent="0.3"/>
    <row r="3960" hidden="1" x14ac:dyDescent="0.3"/>
    <row r="3961" hidden="1" x14ac:dyDescent="0.3"/>
    <row r="3962" hidden="1" x14ac:dyDescent="0.3"/>
    <row r="3963" hidden="1" x14ac:dyDescent="0.3"/>
    <row r="3964" hidden="1" x14ac:dyDescent="0.3"/>
    <row r="3965" hidden="1" x14ac:dyDescent="0.3"/>
    <row r="3966" hidden="1" x14ac:dyDescent="0.3"/>
    <row r="3967" hidden="1" x14ac:dyDescent="0.3"/>
    <row r="3968" hidden="1" x14ac:dyDescent="0.3"/>
    <row r="3969" hidden="1" x14ac:dyDescent="0.3"/>
    <row r="3970" hidden="1" x14ac:dyDescent="0.3"/>
    <row r="3971" hidden="1" x14ac:dyDescent="0.3"/>
    <row r="3972" hidden="1" x14ac:dyDescent="0.3"/>
    <row r="3973" hidden="1" x14ac:dyDescent="0.3"/>
    <row r="3974" hidden="1" x14ac:dyDescent="0.3"/>
    <row r="3975" hidden="1" x14ac:dyDescent="0.3"/>
    <row r="3976" hidden="1" x14ac:dyDescent="0.3"/>
    <row r="3977" hidden="1" x14ac:dyDescent="0.3"/>
    <row r="3978" hidden="1" x14ac:dyDescent="0.3"/>
    <row r="3979" hidden="1" x14ac:dyDescent="0.3"/>
    <row r="3980" hidden="1" x14ac:dyDescent="0.3"/>
    <row r="3981" hidden="1" x14ac:dyDescent="0.3"/>
    <row r="3982" hidden="1" x14ac:dyDescent="0.3"/>
    <row r="3983" hidden="1" x14ac:dyDescent="0.3"/>
    <row r="3984" hidden="1" x14ac:dyDescent="0.3"/>
    <row r="3985" hidden="1" x14ac:dyDescent="0.3"/>
    <row r="3986" hidden="1" x14ac:dyDescent="0.3"/>
    <row r="3987" hidden="1" x14ac:dyDescent="0.3"/>
    <row r="3988" hidden="1" x14ac:dyDescent="0.3"/>
    <row r="3989" hidden="1" x14ac:dyDescent="0.3"/>
    <row r="3990" hidden="1" x14ac:dyDescent="0.3"/>
    <row r="3991" hidden="1" x14ac:dyDescent="0.3"/>
    <row r="3992" hidden="1" x14ac:dyDescent="0.3"/>
    <row r="3993" hidden="1" x14ac:dyDescent="0.3"/>
    <row r="3994" hidden="1" x14ac:dyDescent="0.3"/>
    <row r="3995" hidden="1" x14ac:dyDescent="0.3"/>
    <row r="3996" hidden="1" x14ac:dyDescent="0.3"/>
    <row r="3997" hidden="1" x14ac:dyDescent="0.3"/>
    <row r="3998" hidden="1" x14ac:dyDescent="0.3"/>
    <row r="3999" hidden="1" x14ac:dyDescent="0.3"/>
    <row r="4000" hidden="1" x14ac:dyDescent="0.3"/>
    <row r="4001" hidden="1" x14ac:dyDescent="0.3"/>
    <row r="4002" hidden="1" x14ac:dyDescent="0.3"/>
    <row r="4003" hidden="1" x14ac:dyDescent="0.3"/>
    <row r="4004" hidden="1" x14ac:dyDescent="0.3"/>
    <row r="4005" hidden="1" x14ac:dyDescent="0.3"/>
    <row r="4006" hidden="1" x14ac:dyDescent="0.3"/>
    <row r="4007" hidden="1" x14ac:dyDescent="0.3"/>
    <row r="4008" hidden="1" x14ac:dyDescent="0.3"/>
    <row r="4009" hidden="1" x14ac:dyDescent="0.3"/>
    <row r="4010" hidden="1" x14ac:dyDescent="0.3"/>
    <row r="4011" hidden="1" x14ac:dyDescent="0.3"/>
    <row r="4012" hidden="1" x14ac:dyDescent="0.3"/>
    <row r="4013" hidden="1" x14ac:dyDescent="0.3"/>
    <row r="4014" hidden="1" x14ac:dyDescent="0.3"/>
    <row r="4015" hidden="1" x14ac:dyDescent="0.3"/>
    <row r="4016" hidden="1" x14ac:dyDescent="0.3"/>
    <row r="4017" hidden="1" x14ac:dyDescent="0.3"/>
    <row r="4018" hidden="1" x14ac:dyDescent="0.3"/>
    <row r="4019" hidden="1" x14ac:dyDescent="0.3"/>
    <row r="4020" hidden="1" x14ac:dyDescent="0.3"/>
    <row r="4021" hidden="1" x14ac:dyDescent="0.3"/>
    <row r="4022" hidden="1" x14ac:dyDescent="0.3"/>
    <row r="4023" hidden="1" x14ac:dyDescent="0.3"/>
    <row r="4024" hidden="1" x14ac:dyDescent="0.3"/>
    <row r="4025" hidden="1" x14ac:dyDescent="0.3"/>
    <row r="4026" hidden="1" x14ac:dyDescent="0.3"/>
    <row r="4027" hidden="1" x14ac:dyDescent="0.3"/>
    <row r="4028" hidden="1" x14ac:dyDescent="0.3"/>
    <row r="4029" hidden="1" x14ac:dyDescent="0.3"/>
    <row r="4030" hidden="1" x14ac:dyDescent="0.3"/>
    <row r="4031" hidden="1" x14ac:dyDescent="0.3"/>
    <row r="4032" hidden="1" x14ac:dyDescent="0.3"/>
    <row r="4033" hidden="1" x14ac:dyDescent="0.3"/>
    <row r="4034" hidden="1" x14ac:dyDescent="0.3"/>
    <row r="4035" hidden="1" x14ac:dyDescent="0.3"/>
    <row r="4036" hidden="1" x14ac:dyDescent="0.3"/>
    <row r="4037" hidden="1" x14ac:dyDescent="0.3"/>
    <row r="4038" hidden="1" x14ac:dyDescent="0.3"/>
    <row r="4039" hidden="1" x14ac:dyDescent="0.3"/>
    <row r="4040" hidden="1" x14ac:dyDescent="0.3"/>
    <row r="4041" hidden="1" x14ac:dyDescent="0.3"/>
    <row r="4042" hidden="1" x14ac:dyDescent="0.3"/>
    <row r="4043" hidden="1" x14ac:dyDescent="0.3"/>
    <row r="4044" hidden="1" x14ac:dyDescent="0.3"/>
    <row r="4045" hidden="1" x14ac:dyDescent="0.3"/>
    <row r="4046" hidden="1" x14ac:dyDescent="0.3"/>
    <row r="4047" hidden="1" x14ac:dyDescent="0.3"/>
    <row r="4048" hidden="1" x14ac:dyDescent="0.3"/>
    <row r="4049" hidden="1" x14ac:dyDescent="0.3"/>
    <row r="4050" hidden="1" x14ac:dyDescent="0.3"/>
    <row r="4051" hidden="1" x14ac:dyDescent="0.3"/>
    <row r="4052" hidden="1" x14ac:dyDescent="0.3"/>
    <row r="4053" hidden="1" x14ac:dyDescent="0.3"/>
    <row r="4054" hidden="1" x14ac:dyDescent="0.3"/>
    <row r="4055" hidden="1" x14ac:dyDescent="0.3"/>
    <row r="4056" hidden="1" x14ac:dyDescent="0.3"/>
    <row r="4057" hidden="1" x14ac:dyDescent="0.3"/>
    <row r="4058" hidden="1" x14ac:dyDescent="0.3"/>
    <row r="4059" hidden="1" x14ac:dyDescent="0.3"/>
    <row r="4060" hidden="1" x14ac:dyDescent="0.3"/>
    <row r="4061" hidden="1" x14ac:dyDescent="0.3"/>
    <row r="4062" hidden="1" x14ac:dyDescent="0.3"/>
    <row r="4063" hidden="1" x14ac:dyDescent="0.3"/>
    <row r="4064" hidden="1" x14ac:dyDescent="0.3"/>
    <row r="4065" hidden="1" x14ac:dyDescent="0.3"/>
    <row r="4066" hidden="1" x14ac:dyDescent="0.3"/>
    <row r="4067" hidden="1" x14ac:dyDescent="0.3"/>
    <row r="4068" hidden="1" x14ac:dyDescent="0.3"/>
    <row r="4069" hidden="1" x14ac:dyDescent="0.3"/>
    <row r="4070" hidden="1" x14ac:dyDescent="0.3"/>
    <row r="4071" hidden="1" x14ac:dyDescent="0.3"/>
    <row r="4072" hidden="1" x14ac:dyDescent="0.3"/>
    <row r="4073" hidden="1" x14ac:dyDescent="0.3"/>
    <row r="4074" hidden="1" x14ac:dyDescent="0.3"/>
    <row r="4075" hidden="1" x14ac:dyDescent="0.3"/>
    <row r="4076" hidden="1" x14ac:dyDescent="0.3"/>
    <row r="4077" hidden="1" x14ac:dyDescent="0.3"/>
    <row r="4078" hidden="1" x14ac:dyDescent="0.3"/>
    <row r="4079" hidden="1" x14ac:dyDescent="0.3"/>
    <row r="4080" hidden="1" x14ac:dyDescent="0.3"/>
    <row r="4081" hidden="1" x14ac:dyDescent="0.3"/>
    <row r="4082" hidden="1" x14ac:dyDescent="0.3"/>
    <row r="4083" hidden="1" x14ac:dyDescent="0.3"/>
    <row r="4084" hidden="1" x14ac:dyDescent="0.3"/>
    <row r="4085" hidden="1" x14ac:dyDescent="0.3"/>
    <row r="4086" hidden="1" x14ac:dyDescent="0.3"/>
    <row r="4087" hidden="1" x14ac:dyDescent="0.3"/>
    <row r="4088" hidden="1" x14ac:dyDescent="0.3"/>
    <row r="4089" hidden="1" x14ac:dyDescent="0.3"/>
    <row r="4090" hidden="1" x14ac:dyDescent="0.3"/>
    <row r="4091" hidden="1" x14ac:dyDescent="0.3"/>
    <row r="4092" hidden="1" x14ac:dyDescent="0.3"/>
    <row r="4093" hidden="1" x14ac:dyDescent="0.3"/>
    <row r="4094" hidden="1" x14ac:dyDescent="0.3"/>
    <row r="4095" hidden="1" x14ac:dyDescent="0.3"/>
    <row r="4096" hidden="1" x14ac:dyDescent="0.3"/>
    <row r="4097" hidden="1" x14ac:dyDescent="0.3"/>
    <row r="4098" hidden="1" x14ac:dyDescent="0.3"/>
    <row r="4099" hidden="1" x14ac:dyDescent="0.3"/>
    <row r="4100" hidden="1" x14ac:dyDescent="0.3"/>
    <row r="4101" hidden="1" x14ac:dyDescent="0.3"/>
    <row r="4102" hidden="1" x14ac:dyDescent="0.3"/>
    <row r="4103" hidden="1" x14ac:dyDescent="0.3"/>
    <row r="4104" hidden="1" x14ac:dyDescent="0.3"/>
    <row r="4105" hidden="1" x14ac:dyDescent="0.3"/>
    <row r="4106" hidden="1" x14ac:dyDescent="0.3"/>
    <row r="4107" hidden="1" x14ac:dyDescent="0.3"/>
    <row r="4108" hidden="1" x14ac:dyDescent="0.3"/>
    <row r="4109" hidden="1" x14ac:dyDescent="0.3"/>
    <row r="4110" hidden="1" x14ac:dyDescent="0.3"/>
    <row r="4111" hidden="1" x14ac:dyDescent="0.3"/>
    <row r="4112" hidden="1" x14ac:dyDescent="0.3"/>
    <row r="4113" hidden="1" x14ac:dyDescent="0.3"/>
    <row r="4114" hidden="1" x14ac:dyDescent="0.3"/>
    <row r="4115" hidden="1" x14ac:dyDescent="0.3"/>
    <row r="4116" hidden="1" x14ac:dyDescent="0.3"/>
    <row r="4117" hidden="1" x14ac:dyDescent="0.3"/>
    <row r="4118" hidden="1" x14ac:dyDescent="0.3"/>
    <row r="4119" hidden="1" x14ac:dyDescent="0.3"/>
    <row r="4120" hidden="1" x14ac:dyDescent="0.3"/>
    <row r="4121" hidden="1" x14ac:dyDescent="0.3"/>
    <row r="4122" hidden="1" x14ac:dyDescent="0.3"/>
    <row r="4123" hidden="1" x14ac:dyDescent="0.3"/>
    <row r="4124" hidden="1" x14ac:dyDescent="0.3"/>
    <row r="4125" hidden="1" x14ac:dyDescent="0.3"/>
    <row r="4126" hidden="1" x14ac:dyDescent="0.3"/>
    <row r="4127" hidden="1" x14ac:dyDescent="0.3"/>
    <row r="4128" hidden="1" x14ac:dyDescent="0.3"/>
    <row r="4129" hidden="1" x14ac:dyDescent="0.3"/>
    <row r="4130" hidden="1" x14ac:dyDescent="0.3"/>
    <row r="4131" hidden="1" x14ac:dyDescent="0.3"/>
    <row r="4132" hidden="1" x14ac:dyDescent="0.3"/>
    <row r="4133" hidden="1" x14ac:dyDescent="0.3"/>
    <row r="4134" hidden="1" x14ac:dyDescent="0.3"/>
    <row r="4135" hidden="1" x14ac:dyDescent="0.3"/>
    <row r="4136" hidden="1" x14ac:dyDescent="0.3"/>
    <row r="4137" hidden="1" x14ac:dyDescent="0.3"/>
    <row r="4138" hidden="1" x14ac:dyDescent="0.3"/>
    <row r="4139" hidden="1" x14ac:dyDescent="0.3"/>
    <row r="4140" hidden="1" x14ac:dyDescent="0.3"/>
    <row r="4141" hidden="1" x14ac:dyDescent="0.3"/>
    <row r="4142" hidden="1" x14ac:dyDescent="0.3"/>
    <row r="4143" hidden="1" x14ac:dyDescent="0.3"/>
    <row r="4144" hidden="1" x14ac:dyDescent="0.3"/>
    <row r="4145" hidden="1" x14ac:dyDescent="0.3"/>
    <row r="4146" hidden="1" x14ac:dyDescent="0.3"/>
    <row r="4147" hidden="1" x14ac:dyDescent="0.3"/>
    <row r="4148" hidden="1" x14ac:dyDescent="0.3"/>
    <row r="4149" hidden="1" x14ac:dyDescent="0.3"/>
    <row r="4150" hidden="1" x14ac:dyDescent="0.3"/>
    <row r="4151" hidden="1" x14ac:dyDescent="0.3"/>
    <row r="4152" hidden="1" x14ac:dyDescent="0.3"/>
    <row r="4153" hidden="1" x14ac:dyDescent="0.3"/>
    <row r="4154" hidden="1" x14ac:dyDescent="0.3"/>
    <row r="4155" hidden="1" x14ac:dyDescent="0.3"/>
    <row r="4156" hidden="1" x14ac:dyDescent="0.3"/>
    <row r="4157" hidden="1" x14ac:dyDescent="0.3"/>
    <row r="4158" hidden="1" x14ac:dyDescent="0.3"/>
    <row r="4159" hidden="1" x14ac:dyDescent="0.3"/>
    <row r="4160" hidden="1" x14ac:dyDescent="0.3"/>
    <row r="4161" hidden="1" x14ac:dyDescent="0.3"/>
    <row r="4162" hidden="1" x14ac:dyDescent="0.3"/>
    <row r="4163" hidden="1" x14ac:dyDescent="0.3"/>
    <row r="4164" hidden="1" x14ac:dyDescent="0.3"/>
    <row r="4165" hidden="1" x14ac:dyDescent="0.3"/>
    <row r="4166" hidden="1" x14ac:dyDescent="0.3"/>
    <row r="4167" hidden="1" x14ac:dyDescent="0.3"/>
    <row r="4168" hidden="1" x14ac:dyDescent="0.3"/>
    <row r="4169" hidden="1" x14ac:dyDescent="0.3"/>
    <row r="4170" hidden="1" x14ac:dyDescent="0.3"/>
    <row r="4171" hidden="1" x14ac:dyDescent="0.3"/>
    <row r="4172" hidden="1" x14ac:dyDescent="0.3"/>
    <row r="4173" hidden="1" x14ac:dyDescent="0.3"/>
    <row r="4174" hidden="1" x14ac:dyDescent="0.3"/>
    <row r="4175" hidden="1" x14ac:dyDescent="0.3"/>
    <row r="4176" hidden="1" x14ac:dyDescent="0.3"/>
    <row r="4177" hidden="1" x14ac:dyDescent="0.3"/>
    <row r="4178" hidden="1" x14ac:dyDescent="0.3"/>
    <row r="4179" hidden="1" x14ac:dyDescent="0.3"/>
    <row r="4180" hidden="1" x14ac:dyDescent="0.3"/>
    <row r="4181" hidden="1" x14ac:dyDescent="0.3"/>
    <row r="4182" hidden="1" x14ac:dyDescent="0.3"/>
    <row r="4183" hidden="1" x14ac:dyDescent="0.3"/>
    <row r="4184" hidden="1" x14ac:dyDescent="0.3"/>
    <row r="4185" hidden="1" x14ac:dyDescent="0.3"/>
    <row r="4186" hidden="1" x14ac:dyDescent="0.3"/>
    <row r="4187" hidden="1" x14ac:dyDescent="0.3"/>
    <row r="4188" hidden="1" x14ac:dyDescent="0.3"/>
    <row r="4189" hidden="1" x14ac:dyDescent="0.3"/>
    <row r="4190" hidden="1" x14ac:dyDescent="0.3"/>
    <row r="4191" hidden="1" x14ac:dyDescent="0.3"/>
    <row r="4192" hidden="1" x14ac:dyDescent="0.3"/>
    <row r="4193" hidden="1" x14ac:dyDescent="0.3"/>
    <row r="4194" hidden="1" x14ac:dyDescent="0.3"/>
    <row r="4195" hidden="1" x14ac:dyDescent="0.3"/>
    <row r="4196" hidden="1" x14ac:dyDescent="0.3"/>
    <row r="4197" hidden="1" x14ac:dyDescent="0.3"/>
    <row r="4198" hidden="1" x14ac:dyDescent="0.3"/>
    <row r="4199" hidden="1" x14ac:dyDescent="0.3"/>
    <row r="4200" hidden="1" x14ac:dyDescent="0.3"/>
    <row r="4201" hidden="1" x14ac:dyDescent="0.3"/>
    <row r="4202" hidden="1" x14ac:dyDescent="0.3"/>
    <row r="4203" hidden="1" x14ac:dyDescent="0.3"/>
    <row r="4204" hidden="1" x14ac:dyDescent="0.3"/>
    <row r="4205" hidden="1" x14ac:dyDescent="0.3"/>
    <row r="4206" hidden="1" x14ac:dyDescent="0.3"/>
    <row r="4207" hidden="1" x14ac:dyDescent="0.3"/>
    <row r="4208" hidden="1" x14ac:dyDescent="0.3"/>
    <row r="4209" hidden="1" x14ac:dyDescent="0.3"/>
    <row r="4210" hidden="1" x14ac:dyDescent="0.3"/>
    <row r="4211" hidden="1" x14ac:dyDescent="0.3"/>
    <row r="4212" hidden="1" x14ac:dyDescent="0.3"/>
    <row r="4213" hidden="1" x14ac:dyDescent="0.3"/>
    <row r="4214" hidden="1" x14ac:dyDescent="0.3"/>
    <row r="4215" hidden="1" x14ac:dyDescent="0.3"/>
    <row r="4216" hidden="1" x14ac:dyDescent="0.3"/>
    <row r="4217" hidden="1" x14ac:dyDescent="0.3"/>
    <row r="4218" hidden="1" x14ac:dyDescent="0.3"/>
    <row r="4219" hidden="1" x14ac:dyDescent="0.3"/>
    <row r="4220" hidden="1" x14ac:dyDescent="0.3"/>
    <row r="4221" hidden="1" x14ac:dyDescent="0.3"/>
    <row r="4222" hidden="1" x14ac:dyDescent="0.3"/>
    <row r="4223" hidden="1" x14ac:dyDescent="0.3"/>
    <row r="4224" hidden="1" x14ac:dyDescent="0.3"/>
    <row r="4225" hidden="1" x14ac:dyDescent="0.3"/>
    <row r="4226" hidden="1" x14ac:dyDescent="0.3"/>
    <row r="4227" hidden="1" x14ac:dyDescent="0.3"/>
    <row r="4228" hidden="1" x14ac:dyDescent="0.3"/>
    <row r="4229" hidden="1" x14ac:dyDescent="0.3"/>
    <row r="4230" hidden="1" x14ac:dyDescent="0.3"/>
    <row r="4231" hidden="1" x14ac:dyDescent="0.3"/>
    <row r="4232" hidden="1" x14ac:dyDescent="0.3"/>
    <row r="4233" hidden="1" x14ac:dyDescent="0.3"/>
    <row r="4234" hidden="1" x14ac:dyDescent="0.3"/>
    <row r="4235" hidden="1" x14ac:dyDescent="0.3"/>
    <row r="4236" hidden="1" x14ac:dyDescent="0.3"/>
    <row r="4237" hidden="1" x14ac:dyDescent="0.3"/>
    <row r="4238" hidden="1" x14ac:dyDescent="0.3"/>
    <row r="4239" hidden="1" x14ac:dyDescent="0.3"/>
    <row r="4240" hidden="1" x14ac:dyDescent="0.3"/>
    <row r="4241" hidden="1" x14ac:dyDescent="0.3"/>
    <row r="4242" hidden="1" x14ac:dyDescent="0.3"/>
    <row r="4243" hidden="1" x14ac:dyDescent="0.3"/>
    <row r="4244" hidden="1" x14ac:dyDescent="0.3"/>
    <row r="4245" hidden="1" x14ac:dyDescent="0.3"/>
    <row r="4246" hidden="1" x14ac:dyDescent="0.3"/>
    <row r="4247" hidden="1" x14ac:dyDescent="0.3"/>
    <row r="4248" hidden="1" x14ac:dyDescent="0.3"/>
    <row r="4249" hidden="1" x14ac:dyDescent="0.3"/>
    <row r="4250" hidden="1" x14ac:dyDescent="0.3"/>
    <row r="4251" hidden="1" x14ac:dyDescent="0.3"/>
    <row r="4252" hidden="1" x14ac:dyDescent="0.3"/>
    <row r="4253" hidden="1" x14ac:dyDescent="0.3"/>
    <row r="4254" hidden="1" x14ac:dyDescent="0.3"/>
    <row r="4255" hidden="1" x14ac:dyDescent="0.3"/>
    <row r="4256" hidden="1" x14ac:dyDescent="0.3"/>
    <row r="4257" hidden="1" x14ac:dyDescent="0.3"/>
    <row r="4258" hidden="1" x14ac:dyDescent="0.3"/>
    <row r="4259" hidden="1" x14ac:dyDescent="0.3"/>
    <row r="4260" hidden="1" x14ac:dyDescent="0.3"/>
    <row r="4261" hidden="1" x14ac:dyDescent="0.3"/>
    <row r="4262" hidden="1" x14ac:dyDescent="0.3"/>
    <row r="4263" hidden="1" x14ac:dyDescent="0.3"/>
    <row r="4264" hidden="1" x14ac:dyDescent="0.3"/>
    <row r="4265" hidden="1" x14ac:dyDescent="0.3"/>
    <row r="4266" hidden="1" x14ac:dyDescent="0.3"/>
    <row r="4267" hidden="1" x14ac:dyDescent="0.3"/>
    <row r="4268" hidden="1" x14ac:dyDescent="0.3"/>
    <row r="4269" hidden="1" x14ac:dyDescent="0.3"/>
    <row r="4270" hidden="1" x14ac:dyDescent="0.3"/>
    <row r="4271" hidden="1" x14ac:dyDescent="0.3"/>
    <row r="4272" hidden="1" x14ac:dyDescent="0.3"/>
    <row r="4273" hidden="1" x14ac:dyDescent="0.3"/>
    <row r="4274" hidden="1" x14ac:dyDescent="0.3"/>
    <row r="4275" hidden="1" x14ac:dyDescent="0.3"/>
    <row r="4276" hidden="1" x14ac:dyDescent="0.3"/>
    <row r="4277" hidden="1" x14ac:dyDescent="0.3"/>
    <row r="4278" hidden="1" x14ac:dyDescent="0.3"/>
    <row r="4279" hidden="1" x14ac:dyDescent="0.3"/>
    <row r="4280" hidden="1" x14ac:dyDescent="0.3"/>
    <row r="4281" hidden="1" x14ac:dyDescent="0.3"/>
    <row r="4282" hidden="1" x14ac:dyDescent="0.3"/>
    <row r="4283" hidden="1" x14ac:dyDescent="0.3"/>
    <row r="4284" hidden="1" x14ac:dyDescent="0.3"/>
    <row r="4285" hidden="1" x14ac:dyDescent="0.3"/>
    <row r="4286" hidden="1" x14ac:dyDescent="0.3"/>
    <row r="4287" hidden="1" x14ac:dyDescent="0.3"/>
    <row r="4288" hidden="1" x14ac:dyDescent="0.3"/>
    <row r="4289" hidden="1" x14ac:dyDescent="0.3"/>
    <row r="4290" hidden="1" x14ac:dyDescent="0.3"/>
    <row r="4291" hidden="1" x14ac:dyDescent="0.3"/>
    <row r="4292" hidden="1" x14ac:dyDescent="0.3"/>
    <row r="4293" hidden="1" x14ac:dyDescent="0.3"/>
    <row r="4294" hidden="1" x14ac:dyDescent="0.3"/>
    <row r="4295" hidden="1" x14ac:dyDescent="0.3"/>
    <row r="4296" hidden="1" x14ac:dyDescent="0.3"/>
    <row r="4297" hidden="1" x14ac:dyDescent="0.3"/>
    <row r="4298" hidden="1" x14ac:dyDescent="0.3"/>
    <row r="4299" hidden="1" x14ac:dyDescent="0.3"/>
    <row r="4300" hidden="1" x14ac:dyDescent="0.3"/>
    <row r="4301" hidden="1" x14ac:dyDescent="0.3"/>
    <row r="4302" hidden="1" x14ac:dyDescent="0.3"/>
    <row r="4303" hidden="1" x14ac:dyDescent="0.3"/>
    <row r="4304" hidden="1" x14ac:dyDescent="0.3"/>
    <row r="4305" hidden="1" x14ac:dyDescent="0.3"/>
    <row r="4306" hidden="1" x14ac:dyDescent="0.3"/>
    <row r="4307" hidden="1" x14ac:dyDescent="0.3"/>
    <row r="4308" hidden="1" x14ac:dyDescent="0.3"/>
    <row r="4309" hidden="1" x14ac:dyDescent="0.3"/>
    <row r="4310" hidden="1" x14ac:dyDescent="0.3"/>
    <row r="4311" hidden="1" x14ac:dyDescent="0.3"/>
    <row r="4312" hidden="1" x14ac:dyDescent="0.3"/>
    <row r="4313" hidden="1" x14ac:dyDescent="0.3"/>
    <row r="4314" hidden="1" x14ac:dyDescent="0.3"/>
    <row r="4315" hidden="1" x14ac:dyDescent="0.3"/>
    <row r="4316" hidden="1" x14ac:dyDescent="0.3"/>
    <row r="4317" hidden="1" x14ac:dyDescent="0.3"/>
    <row r="4318" hidden="1" x14ac:dyDescent="0.3"/>
    <row r="4319" hidden="1" x14ac:dyDescent="0.3"/>
    <row r="4320" hidden="1" x14ac:dyDescent="0.3"/>
    <row r="4321" hidden="1" x14ac:dyDescent="0.3"/>
    <row r="4322" hidden="1" x14ac:dyDescent="0.3"/>
    <row r="4323" hidden="1" x14ac:dyDescent="0.3"/>
    <row r="4324" hidden="1" x14ac:dyDescent="0.3"/>
    <row r="4325" hidden="1" x14ac:dyDescent="0.3"/>
    <row r="4326" hidden="1" x14ac:dyDescent="0.3"/>
    <row r="4327" hidden="1" x14ac:dyDescent="0.3"/>
    <row r="4328" hidden="1" x14ac:dyDescent="0.3"/>
    <row r="4329" hidden="1" x14ac:dyDescent="0.3"/>
    <row r="4330" hidden="1" x14ac:dyDescent="0.3"/>
    <row r="4331" hidden="1" x14ac:dyDescent="0.3"/>
    <row r="4332" hidden="1" x14ac:dyDescent="0.3"/>
    <row r="4333" hidden="1" x14ac:dyDescent="0.3"/>
    <row r="4334" hidden="1" x14ac:dyDescent="0.3"/>
    <row r="4335" hidden="1" x14ac:dyDescent="0.3"/>
    <row r="4336" hidden="1" x14ac:dyDescent="0.3"/>
    <row r="4337" hidden="1" x14ac:dyDescent="0.3"/>
    <row r="4338" hidden="1" x14ac:dyDescent="0.3"/>
    <row r="4339" hidden="1" x14ac:dyDescent="0.3"/>
    <row r="4340" hidden="1" x14ac:dyDescent="0.3"/>
    <row r="4341" hidden="1" x14ac:dyDescent="0.3"/>
    <row r="4342" hidden="1" x14ac:dyDescent="0.3"/>
    <row r="4343" hidden="1" x14ac:dyDescent="0.3"/>
    <row r="4344" hidden="1" x14ac:dyDescent="0.3"/>
    <row r="4345" hidden="1" x14ac:dyDescent="0.3"/>
    <row r="4346" hidden="1" x14ac:dyDescent="0.3"/>
    <row r="4347" hidden="1" x14ac:dyDescent="0.3"/>
    <row r="4348" hidden="1" x14ac:dyDescent="0.3"/>
    <row r="4349" hidden="1" x14ac:dyDescent="0.3"/>
    <row r="4350" hidden="1" x14ac:dyDescent="0.3"/>
    <row r="4351" hidden="1" x14ac:dyDescent="0.3"/>
    <row r="4352" hidden="1" x14ac:dyDescent="0.3"/>
    <row r="4353" hidden="1" x14ac:dyDescent="0.3"/>
    <row r="4354" hidden="1" x14ac:dyDescent="0.3"/>
    <row r="4355" hidden="1" x14ac:dyDescent="0.3"/>
    <row r="4356" hidden="1" x14ac:dyDescent="0.3"/>
    <row r="4357" hidden="1" x14ac:dyDescent="0.3"/>
    <row r="4358" hidden="1" x14ac:dyDescent="0.3"/>
    <row r="4359" hidden="1" x14ac:dyDescent="0.3"/>
    <row r="4360" hidden="1" x14ac:dyDescent="0.3"/>
    <row r="4361" hidden="1" x14ac:dyDescent="0.3"/>
    <row r="4362" hidden="1" x14ac:dyDescent="0.3"/>
    <row r="4363" hidden="1" x14ac:dyDescent="0.3"/>
    <row r="4364" hidden="1" x14ac:dyDescent="0.3"/>
    <row r="4365" hidden="1" x14ac:dyDescent="0.3"/>
    <row r="4366" hidden="1" x14ac:dyDescent="0.3"/>
    <row r="4367" hidden="1" x14ac:dyDescent="0.3"/>
    <row r="4368" hidden="1" x14ac:dyDescent="0.3"/>
    <row r="4369" hidden="1" x14ac:dyDescent="0.3"/>
    <row r="4370" hidden="1" x14ac:dyDescent="0.3"/>
    <row r="4371" hidden="1" x14ac:dyDescent="0.3"/>
    <row r="4372" hidden="1" x14ac:dyDescent="0.3"/>
    <row r="4373" hidden="1" x14ac:dyDescent="0.3"/>
    <row r="4374" hidden="1" x14ac:dyDescent="0.3"/>
    <row r="4375" hidden="1" x14ac:dyDescent="0.3"/>
    <row r="4376" hidden="1" x14ac:dyDescent="0.3"/>
    <row r="4377" hidden="1" x14ac:dyDescent="0.3"/>
    <row r="4378" hidden="1" x14ac:dyDescent="0.3"/>
    <row r="4379" hidden="1" x14ac:dyDescent="0.3"/>
    <row r="4380" hidden="1" x14ac:dyDescent="0.3"/>
    <row r="4381" hidden="1" x14ac:dyDescent="0.3"/>
    <row r="4382" hidden="1" x14ac:dyDescent="0.3"/>
    <row r="4383" hidden="1" x14ac:dyDescent="0.3"/>
    <row r="4384" hidden="1" x14ac:dyDescent="0.3"/>
    <row r="4385" hidden="1" x14ac:dyDescent="0.3"/>
    <row r="4386" hidden="1" x14ac:dyDescent="0.3"/>
    <row r="4387" hidden="1" x14ac:dyDescent="0.3"/>
    <row r="4388" hidden="1" x14ac:dyDescent="0.3"/>
    <row r="4389" hidden="1" x14ac:dyDescent="0.3"/>
    <row r="4390" hidden="1" x14ac:dyDescent="0.3"/>
    <row r="4391" hidden="1" x14ac:dyDescent="0.3"/>
    <row r="4392" hidden="1" x14ac:dyDescent="0.3"/>
    <row r="4393" hidden="1" x14ac:dyDescent="0.3"/>
    <row r="4394" hidden="1" x14ac:dyDescent="0.3"/>
    <row r="4395" hidden="1" x14ac:dyDescent="0.3"/>
    <row r="4396" hidden="1" x14ac:dyDescent="0.3"/>
    <row r="4397" hidden="1" x14ac:dyDescent="0.3"/>
    <row r="4398" hidden="1" x14ac:dyDescent="0.3"/>
    <row r="4399" hidden="1" x14ac:dyDescent="0.3"/>
    <row r="4400" hidden="1" x14ac:dyDescent="0.3"/>
    <row r="4401" hidden="1" x14ac:dyDescent="0.3"/>
    <row r="4402" hidden="1" x14ac:dyDescent="0.3"/>
    <row r="4403" hidden="1" x14ac:dyDescent="0.3"/>
    <row r="4404" hidden="1" x14ac:dyDescent="0.3"/>
    <row r="4405" hidden="1" x14ac:dyDescent="0.3"/>
    <row r="4406" hidden="1" x14ac:dyDescent="0.3"/>
    <row r="4407" hidden="1" x14ac:dyDescent="0.3"/>
    <row r="4408" hidden="1" x14ac:dyDescent="0.3"/>
    <row r="4409" hidden="1" x14ac:dyDescent="0.3"/>
    <row r="4410" hidden="1" x14ac:dyDescent="0.3"/>
    <row r="4411" hidden="1" x14ac:dyDescent="0.3"/>
    <row r="4412" hidden="1" x14ac:dyDescent="0.3"/>
    <row r="4413" hidden="1" x14ac:dyDescent="0.3"/>
    <row r="4414" hidden="1" x14ac:dyDescent="0.3"/>
    <row r="4415" hidden="1" x14ac:dyDescent="0.3"/>
    <row r="4416" hidden="1" x14ac:dyDescent="0.3"/>
    <row r="4417" hidden="1" x14ac:dyDescent="0.3"/>
    <row r="4418" hidden="1" x14ac:dyDescent="0.3"/>
    <row r="4419" hidden="1" x14ac:dyDescent="0.3"/>
    <row r="4420" hidden="1" x14ac:dyDescent="0.3"/>
    <row r="4421" hidden="1" x14ac:dyDescent="0.3"/>
    <row r="4422" hidden="1" x14ac:dyDescent="0.3"/>
    <row r="4423" hidden="1" x14ac:dyDescent="0.3"/>
    <row r="4424" hidden="1" x14ac:dyDescent="0.3"/>
    <row r="4425" hidden="1" x14ac:dyDescent="0.3"/>
    <row r="4426" hidden="1" x14ac:dyDescent="0.3"/>
    <row r="4427" hidden="1" x14ac:dyDescent="0.3"/>
    <row r="4428" hidden="1" x14ac:dyDescent="0.3"/>
    <row r="4429" hidden="1" x14ac:dyDescent="0.3"/>
    <row r="4430" hidden="1" x14ac:dyDescent="0.3"/>
    <row r="4431" hidden="1" x14ac:dyDescent="0.3"/>
    <row r="4432" hidden="1" x14ac:dyDescent="0.3"/>
    <row r="4433" hidden="1" x14ac:dyDescent="0.3"/>
    <row r="4434" hidden="1" x14ac:dyDescent="0.3"/>
    <row r="4435" hidden="1" x14ac:dyDescent="0.3"/>
    <row r="4436" hidden="1" x14ac:dyDescent="0.3"/>
    <row r="4437" hidden="1" x14ac:dyDescent="0.3"/>
    <row r="4438" hidden="1" x14ac:dyDescent="0.3"/>
    <row r="4439" hidden="1" x14ac:dyDescent="0.3"/>
    <row r="4440" hidden="1" x14ac:dyDescent="0.3"/>
    <row r="4441" hidden="1" x14ac:dyDescent="0.3"/>
    <row r="4442" hidden="1" x14ac:dyDescent="0.3"/>
    <row r="4443" hidden="1" x14ac:dyDescent="0.3"/>
    <row r="4444" hidden="1" x14ac:dyDescent="0.3"/>
    <row r="4445" hidden="1" x14ac:dyDescent="0.3"/>
    <row r="4446" hidden="1" x14ac:dyDescent="0.3"/>
    <row r="4447" hidden="1" x14ac:dyDescent="0.3"/>
    <row r="4448" hidden="1" x14ac:dyDescent="0.3"/>
    <row r="4449" hidden="1" x14ac:dyDescent="0.3"/>
    <row r="4450" hidden="1" x14ac:dyDescent="0.3"/>
    <row r="4451" hidden="1" x14ac:dyDescent="0.3"/>
    <row r="4452" hidden="1" x14ac:dyDescent="0.3"/>
    <row r="4453" hidden="1" x14ac:dyDescent="0.3"/>
    <row r="4454" hidden="1" x14ac:dyDescent="0.3"/>
    <row r="4455" hidden="1" x14ac:dyDescent="0.3"/>
    <row r="4456" hidden="1" x14ac:dyDescent="0.3"/>
    <row r="4457" hidden="1" x14ac:dyDescent="0.3"/>
    <row r="4458" hidden="1" x14ac:dyDescent="0.3"/>
    <row r="4459" hidden="1" x14ac:dyDescent="0.3"/>
    <row r="4460" hidden="1" x14ac:dyDescent="0.3"/>
    <row r="4461" hidden="1" x14ac:dyDescent="0.3"/>
    <row r="4462" hidden="1" x14ac:dyDescent="0.3"/>
    <row r="4463" hidden="1" x14ac:dyDescent="0.3"/>
    <row r="4464" hidden="1" x14ac:dyDescent="0.3"/>
    <row r="4465" hidden="1" x14ac:dyDescent="0.3"/>
    <row r="4466" hidden="1" x14ac:dyDescent="0.3"/>
    <row r="4467" hidden="1" x14ac:dyDescent="0.3"/>
    <row r="4468" hidden="1" x14ac:dyDescent="0.3"/>
    <row r="4469" hidden="1" x14ac:dyDescent="0.3"/>
    <row r="4470" hidden="1" x14ac:dyDescent="0.3"/>
    <row r="4471" hidden="1" x14ac:dyDescent="0.3"/>
    <row r="4472" hidden="1" x14ac:dyDescent="0.3"/>
    <row r="4473" hidden="1" x14ac:dyDescent="0.3"/>
    <row r="4474" hidden="1" x14ac:dyDescent="0.3"/>
    <row r="4475" hidden="1" x14ac:dyDescent="0.3"/>
    <row r="4476" hidden="1" x14ac:dyDescent="0.3"/>
    <row r="4477" hidden="1" x14ac:dyDescent="0.3"/>
    <row r="4478" hidden="1" x14ac:dyDescent="0.3"/>
    <row r="4479" hidden="1" x14ac:dyDescent="0.3"/>
    <row r="4480" hidden="1" x14ac:dyDescent="0.3"/>
    <row r="4481" hidden="1" x14ac:dyDescent="0.3"/>
    <row r="4482" hidden="1" x14ac:dyDescent="0.3"/>
    <row r="4483" hidden="1" x14ac:dyDescent="0.3"/>
    <row r="4484" hidden="1" x14ac:dyDescent="0.3"/>
    <row r="4485" hidden="1" x14ac:dyDescent="0.3"/>
    <row r="4486" hidden="1" x14ac:dyDescent="0.3"/>
    <row r="4487" hidden="1" x14ac:dyDescent="0.3"/>
    <row r="4488" hidden="1" x14ac:dyDescent="0.3"/>
    <row r="4489" hidden="1" x14ac:dyDescent="0.3"/>
    <row r="4490" hidden="1" x14ac:dyDescent="0.3"/>
    <row r="4491" hidden="1" x14ac:dyDescent="0.3"/>
    <row r="4492" hidden="1" x14ac:dyDescent="0.3"/>
    <row r="4493" hidden="1" x14ac:dyDescent="0.3"/>
    <row r="4494" hidden="1" x14ac:dyDescent="0.3"/>
    <row r="4495" hidden="1" x14ac:dyDescent="0.3"/>
    <row r="4496" hidden="1" x14ac:dyDescent="0.3"/>
    <row r="4497" hidden="1" x14ac:dyDescent="0.3"/>
    <row r="4498" hidden="1" x14ac:dyDescent="0.3"/>
    <row r="4499" hidden="1" x14ac:dyDescent="0.3"/>
    <row r="4500" hidden="1" x14ac:dyDescent="0.3"/>
    <row r="4501" hidden="1" x14ac:dyDescent="0.3"/>
    <row r="4502" hidden="1" x14ac:dyDescent="0.3"/>
    <row r="4503" hidden="1" x14ac:dyDescent="0.3"/>
    <row r="4504" hidden="1" x14ac:dyDescent="0.3"/>
    <row r="4505" hidden="1" x14ac:dyDescent="0.3"/>
    <row r="4506" hidden="1" x14ac:dyDescent="0.3"/>
    <row r="4507" hidden="1" x14ac:dyDescent="0.3"/>
    <row r="4508" hidden="1" x14ac:dyDescent="0.3"/>
    <row r="4509" hidden="1" x14ac:dyDescent="0.3"/>
    <row r="4510" hidden="1" x14ac:dyDescent="0.3"/>
    <row r="4511" hidden="1" x14ac:dyDescent="0.3"/>
    <row r="4512" hidden="1" x14ac:dyDescent="0.3"/>
    <row r="4513" hidden="1" x14ac:dyDescent="0.3"/>
    <row r="4514" hidden="1" x14ac:dyDescent="0.3"/>
    <row r="4515" hidden="1" x14ac:dyDescent="0.3"/>
    <row r="4516" hidden="1" x14ac:dyDescent="0.3"/>
    <row r="4517" hidden="1" x14ac:dyDescent="0.3"/>
    <row r="4518" hidden="1" x14ac:dyDescent="0.3"/>
    <row r="4519" hidden="1" x14ac:dyDescent="0.3"/>
    <row r="4520" hidden="1" x14ac:dyDescent="0.3"/>
    <row r="4521" hidden="1" x14ac:dyDescent="0.3"/>
    <row r="4522" hidden="1" x14ac:dyDescent="0.3"/>
    <row r="4523" hidden="1" x14ac:dyDescent="0.3"/>
    <row r="4524" hidden="1" x14ac:dyDescent="0.3"/>
    <row r="4525" hidden="1" x14ac:dyDescent="0.3"/>
    <row r="4526" hidden="1" x14ac:dyDescent="0.3"/>
    <row r="4527" hidden="1" x14ac:dyDescent="0.3"/>
    <row r="4528" hidden="1" x14ac:dyDescent="0.3"/>
    <row r="4529" hidden="1" x14ac:dyDescent="0.3"/>
    <row r="4530" hidden="1" x14ac:dyDescent="0.3"/>
    <row r="4531" hidden="1" x14ac:dyDescent="0.3"/>
    <row r="4532" hidden="1" x14ac:dyDescent="0.3"/>
    <row r="4533" hidden="1" x14ac:dyDescent="0.3"/>
    <row r="4534" hidden="1" x14ac:dyDescent="0.3"/>
    <row r="4535" hidden="1" x14ac:dyDescent="0.3"/>
    <row r="4536" hidden="1" x14ac:dyDescent="0.3"/>
    <row r="4537" hidden="1" x14ac:dyDescent="0.3"/>
    <row r="4538" hidden="1" x14ac:dyDescent="0.3"/>
    <row r="4539" hidden="1" x14ac:dyDescent="0.3"/>
    <row r="4540" hidden="1" x14ac:dyDescent="0.3"/>
    <row r="4541" hidden="1" x14ac:dyDescent="0.3"/>
    <row r="4542" hidden="1" x14ac:dyDescent="0.3"/>
    <row r="4543" hidden="1" x14ac:dyDescent="0.3"/>
    <row r="4544" hidden="1" x14ac:dyDescent="0.3"/>
    <row r="4545" hidden="1" x14ac:dyDescent="0.3"/>
    <row r="4546" hidden="1" x14ac:dyDescent="0.3"/>
    <row r="4547" hidden="1" x14ac:dyDescent="0.3"/>
    <row r="4548" hidden="1" x14ac:dyDescent="0.3"/>
    <row r="4549" hidden="1" x14ac:dyDescent="0.3"/>
    <row r="4550" hidden="1" x14ac:dyDescent="0.3"/>
    <row r="4551" hidden="1" x14ac:dyDescent="0.3"/>
    <row r="4552" hidden="1" x14ac:dyDescent="0.3"/>
    <row r="4553" hidden="1" x14ac:dyDescent="0.3"/>
    <row r="4554" hidden="1" x14ac:dyDescent="0.3"/>
    <row r="4555" hidden="1" x14ac:dyDescent="0.3"/>
    <row r="4556" hidden="1" x14ac:dyDescent="0.3"/>
    <row r="4557" hidden="1" x14ac:dyDescent="0.3"/>
    <row r="4558" hidden="1" x14ac:dyDescent="0.3"/>
    <row r="4559" hidden="1" x14ac:dyDescent="0.3"/>
    <row r="4560" hidden="1" x14ac:dyDescent="0.3"/>
    <row r="4561" hidden="1" x14ac:dyDescent="0.3"/>
    <row r="4562" hidden="1" x14ac:dyDescent="0.3"/>
    <row r="4563" hidden="1" x14ac:dyDescent="0.3"/>
    <row r="4564" hidden="1" x14ac:dyDescent="0.3"/>
    <row r="4565" hidden="1" x14ac:dyDescent="0.3"/>
    <row r="4566" hidden="1" x14ac:dyDescent="0.3"/>
    <row r="4567" hidden="1" x14ac:dyDescent="0.3"/>
    <row r="4568" hidden="1" x14ac:dyDescent="0.3"/>
    <row r="4569" hidden="1" x14ac:dyDescent="0.3"/>
    <row r="4570" hidden="1" x14ac:dyDescent="0.3"/>
    <row r="4571" hidden="1" x14ac:dyDescent="0.3"/>
    <row r="4572" hidden="1" x14ac:dyDescent="0.3"/>
    <row r="4573" hidden="1" x14ac:dyDescent="0.3"/>
    <row r="4574" hidden="1" x14ac:dyDescent="0.3"/>
    <row r="4575" hidden="1" x14ac:dyDescent="0.3"/>
    <row r="4576" hidden="1" x14ac:dyDescent="0.3"/>
    <row r="4577" hidden="1" x14ac:dyDescent="0.3"/>
    <row r="4578" hidden="1" x14ac:dyDescent="0.3"/>
    <row r="4579" hidden="1" x14ac:dyDescent="0.3"/>
    <row r="4580" hidden="1" x14ac:dyDescent="0.3"/>
    <row r="4581" hidden="1" x14ac:dyDescent="0.3"/>
    <row r="4582" hidden="1" x14ac:dyDescent="0.3"/>
    <row r="4583" hidden="1" x14ac:dyDescent="0.3"/>
    <row r="4584" hidden="1" x14ac:dyDescent="0.3"/>
    <row r="4585" hidden="1" x14ac:dyDescent="0.3"/>
    <row r="4586" hidden="1" x14ac:dyDescent="0.3"/>
    <row r="4587" hidden="1" x14ac:dyDescent="0.3"/>
    <row r="4588" hidden="1" x14ac:dyDescent="0.3"/>
    <row r="4589" hidden="1" x14ac:dyDescent="0.3"/>
    <row r="4590" hidden="1" x14ac:dyDescent="0.3"/>
    <row r="4591" hidden="1" x14ac:dyDescent="0.3"/>
    <row r="4592" hidden="1" x14ac:dyDescent="0.3"/>
    <row r="4593" hidden="1" x14ac:dyDescent="0.3"/>
    <row r="4594" hidden="1" x14ac:dyDescent="0.3"/>
    <row r="4595" hidden="1" x14ac:dyDescent="0.3"/>
    <row r="4596" hidden="1" x14ac:dyDescent="0.3"/>
    <row r="4597" hidden="1" x14ac:dyDescent="0.3"/>
    <row r="4598" hidden="1" x14ac:dyDescent="0.3"/>
    <row r="4599" hidden="1" x14ac:dyDescent="0.3"/>
    <row r="4600" hidden="1" x14ac:dyDescent="0.3"/>
    <row r="4601" hidden="1" x14ac:dyDescent="0.3"/>
    <row r="4602" hidden="1" x14ac:dyDescent="0.3"/>
    <row r="4603" hidden="1" x14ac:dyDescent="0.3"/>
    <row r="4604" hidden="1" x14ac:dyDescent="0.3"/>
    <row r="4605" hidden="1" x14ac:dyDescent="0.3"/>
    <row r="4606" hidden="1" x14ac:dyDescent="0.3"/>
    <row r="4607" hidden="1" x14ac:dyDescent="0.3"/>
    <row r="4608" hidden="1" x14ac:dyDescent="0.3"/>
    <row r="4609" hidden="1" x14ac:dyDescent="0.3"/>
    <row r="4610" hidden="1" x14ac:dyDescent="0.3"/>
    <row r="4611" hidden="1" x14ac:dyDescent="0.3"/>
    <row r="4612" hidden="1" x14ac:dyDescent="0.3"/>
    <row r="4613" hidden="1" x14ac:dyDescent="0.3"/>
    <row r="4614" hidden="1" x14ac:dyDescent="0.3"/>
    <row r="4615" hidden="1" x14ac:dyDescent="0.3"/>
    <row r="4616" hidden="1" x14ac:dyDescent="0.3"/>
    <row r="4617" hidden="1" x14ac:dyDescent="0.3"/>
    <row r="4618" hidden="1" x14ac:dyDescent="0.3"/>
    <row r="4619" hidden="1" x14ac:dyDescent="0.3"/>
    <row r="4620" hidden="1" x14ac:dyDescent="0.3"/>
    <row r="4621" hidden="1" x14ac:dyDescent="0.3"/>
    <row r="4622" hidden="1" x14ac:dyDescent="0.3"/>
    <row r="4623" hidden="1" x14ac:dyDescent="0.3"/>
    <row r="4624" hidden="1" x14ac:dyDescent="0.3"/>
    <row r="4625" hidden="1" x14ac:dyDescent="0.3"/>
    <row r="4626" hidden="1" x14ac:dyDescent="0.3"/>
    <row r="4627" hidden="1" x14ac:dyDescent="0.3"/>
    <row r="4628" hidden="1" x14ac:dyDescent="0.3"/>
    <row r="4629" hidden="1" x14ac:dyDescent="0.3"/>
    <row r="4630" hidden="1" x14ac:dyDescent="0.3"/>
    <row r="4631" hidden="1" x14ac:dyDescent="0.3"/>
    <row r="4632" hidden="1" x14ac:dyDescent="0.3"/>
    <row r="4633" hidden="1" x14ac:dyDescent="0.3"/>
    <row r="4634" hidden="1" x14ac:dyDescent="0.3"/>
    <row r="4635" hidden="1" x14ac:dyDescent="0.3"/>
    <row r="4636" hidden="1" x14ac:dyDescent="0.3"/>
    <row r="4637" hidden="1" x14ac:dyDescent="0.3"/>
    <row r="4638" hidden="1" x14ac:dyDescent="0.3"/>
    <row r="4639" hidden="1" x14ac:dyDescent="0.3"/>
    <row r="4640" hidden="1" x14ac:dyDescent="0.3"/>
    <row r="4641" hidden="1" x14ac:dyDescent="0.3"/>
    <row r="4642" hidden="1" x14ac:dyDescent="0.3"/>
    <row r="4643" hidden="1" x14ac:dyDescent="0.3"/>
    <row r="4644" hidden="1" x14ac:dyDescent="0.3"/>
    <row r="4645" hidden="1" x14ac:dyDescent="0.3"/>
    <row r="4646" hidden="1" x14ac:dyDescent="0.3"/>
    <row r="4647" hidden="1" x14ac:dyDescent="0.3"/>
    <row r="4648" hidden="1" x14ac:dyDescent="0.3"/>
    <row r="4649" hidden="1" x14ac:dyDescent="0.3"/>
    <row r="4650" hidden="1" x14ac:dyDescent="0.3"/>
    <row r="4651" hidden="1" x14ac:dyDescent="0.3"/>
    <row r="4652" hidden="1" x14ac:dyDescent="0.3"/>
    <row r="4653" hidden="1" x14ac:dyDescent="0.3"/>
    <row r="4654" hidden="1" x14ac:dyDescent="0.3"/>
    <row r="4655" hidden="1" x14ac:dyDescent="0.3"/>
    <row r="4656" hidden="1" x14ac:dyDescent="0.3"/>
    <row r="4657" hidden="1" x14ac:dyDescent="0.3"/>
    <row r="4658" hidden="1" x14ac:dyDescent="0.3"/>
    <row r="4659" hidden="1" x14ac:dyDescent="0.3"/>
    <row r="4660" hidden="1" x14ac:dyDescent="0.3"/>
    <row r="4661" hidden="1" x14ac:dyDescent="0.3"/>
    <row r="4662" hidden="1" x14ac:dyDescent="0.3"/>
    <row r="4663" hidden="1" x14ac:dyDescent="0.3"/>
    <row r="4664" hidden="1" x14ac:dyDescent="0.3"/>
    <row r="4665" hidden="1" x14ac:dyDescent="0.3"/>
    <row r="4666" hidden="1" x14ac:dyDescent="0.3"/>
    <row r="4667" hidden="1" x14ac:dyDescent="0.3"/>
    <row r="4668" hidden="1" x14ac:dyDescent="0.3"/>
    <row r="4669" hidden="1" x14ac:dyDescent="0.3"/>
    <row r="4670" hidden="1" x14ac:dyDescent="0.3"/>
    <row r="4671" hidden="1" x14ac:dyDescent="0.3"/>
    <row r="4672" hidden="1" x14ac:dyDescent="0.3"/>
    <row r="4673" hidden="1" x14ac:dyDescent="0.3"/>
    <row r="4674" hidden="1" x14ac:dyDescent="0.3"/>
    <row r="4675" hidden="1" x14ac:dyDescent="0.3"/>
    <row r="4676" hidden="1" x14ac:dyDescent="0.3"/>
    <row r="4677" hidden="1" x14ac:dyDescent="0.3"/>
    <row r="4678" hidden="1" x14ac:dyDescent="0.3"/>
    <row r="4679" hidden="1" x14ac:dyDescent="0.3"/>
    <row r="4680" hidden="1" x14ac:dyDescent="0.3"/>
    <row r="4681" hidden="1" x14ac:dyDescent="0.3"/>
    <row r="4682" hidden="1" x14ac:dyDescent="0.3"/>
    <row r="4683" hidden="1" x14ac:dyDescent="0.3"/>
    <row r="4684" hidden="1" x14ac:dyDescent="0.3"/>
    <row r="4685" hidden="1" x14ac:dyDescent="0.3"/>
    <row r="4686" hidden="1" x14ac:dyDescent="0.3"/>
    <row r="4687" hidden="1" x14ac:dyDescent="0.3"/>
    <row r="4688" hidden="1" x14ac:dyDescent="0.3"/>
    <row r="4689" hidden="1" x14ac:dyDescent="0.3"/>
    <row r="4690" hidden="1" x14ac:dyDescent="0.3"/>
    <row r="4691" hidden="1" x14ac:dyDescent="0.3"/>
    <row r="4692" hidden="1" x14ac:dyDescent="0.3"/>
    <row r="4693" hidden="1" x14ac:dyDescent="0.3"/>
    <row r="4694" hidden="1" x14ac:dyDescent="0.3"/>
    <row r="4695" hidden="1" x14ac:dyDescent="0.3"/>
    <row r="4696" hidden="1" x14ac:dyDescent="0.3"/>
    <row r="4697" hidden="1" x14ac:dyDescent="0.3"/>
    <row r="4698" hidden="1" x14ac:dyDescent="0.3"/>
    <row r="4699" hidden="1" x14ac:dyDescent="0.3"/>
    <row r="4700" hidden="1" x14ac:dyDescent="0.3"/>
    <row r="4701" hidden="1" x14ac:dyDescent="0.3"/>
    <row r="4702" hidden="1" x14ac:dyDescent="0.3"/>
    <row r="4703" hidden="1" x14ac:dyDescent="0.3"/>
    <row r="4704" hidden="1" x14ac:dyDescent="0.3"/>
    <row r="4705" hidden="1" x14ac:dyDescent="0.3"/>
    <row r="4706" hidden="1" x14ac:dyDescent="0.3"/>
    <row r="4707" hidden="1" x14ac:dyDescent="0.3"/>
    <row r="4708" hidden="1" x14ac:dyDescent="0.3"/>
    <row r="4709" hidden="1" x14ac:dyDescent="0.3"/>
    <row r="4710" hidden="1" x14ac:dyDescent="0.3"/>
    <row r="4711" hidden="1" x14ac:dyDescent="0.3"/>
    <row r="4712" hidden="1" x14ac:dyDescent="0.3"/>
    <row r="4713" hidden="1" x14ac:dyDescent="0.3"/>
    <row r="4714" hidden="1" x14ac:dyDescent="0.3"/>
    <row r="4715" hidden="1" x14ac:dyDescent="0.3"/>
    <row r="4716" hidden="1" x14ac:dyDescent="0.3"/>
    <row r="4717" hidden="1" x14ac:dyDescent="0.3"/>
    <row r="4718" hidden="1" x14ac:dyDescent="0.3"/>
    <row r="4719" hidden="1" x14ac:dyDescent="0.3"/>
    <row r="4720" hidden="1" x14ac:dyDescent="0.3"/>
    <row r="4721" hidden="1" x14ac:dyDescent="0.3"/>
    <row r="4722" hidden="1" x14ac:dyDescent="0.3"/>
    <row r="4723" hidden="1" x14ac:dyDescent="0.3"/>
    <row r="4724" hidden="1" x14ac:dyDescent="0.3"/>
    <row r="4725" hidden="1" x14ac:dyDescent="0.3"/>
    <row r="4726" hidden="1" x14ac:dyDescent="0.3"/>
    <row r="4727" hidden="1" x14ac:dyDescent="0.3"/>
    <row r="4728" hidden="1" x14ac:dyDescent="0.3"/>
    <row r="4729" hidden="1" x14ac:dyDescent="0.3"/>
    <row r="4730" hidden="1" x14ac:dyDescent="0.3"/>
    <row r="4731" hidden="1" x14ac:dyDescent="0.3"/>
    <row r="4732" hidden="1" x14ac:dyDescent="0.3"/>
    <row r="4733" hidden="1" x14ac:dyDescent="0.3"/>
    <row r="4734" hidden="1" x14ac:dyDescent="0.3"/>
    <row r="4735" hidden="1" x14ac:dyDescent="0.3"/>
    <row r="4736" hidden="1" x14ac:dyDescent="0.3"/>
    <row r="4737" hidden="1" x14ac:dyDescent="0.3"/>
    <row r="4738" hidden="1" x14ac:dyDescent="0.3"/>
    <row r="4739" hidden="1" x14ac:dyDescent="0.3"/>
    <row r="4740" hidden="1" x14ac:dyDescent="0.3"/>
    <row r="4741" hidden="1" x14ac:dyDescent="0.3"/>
    <row r="4742" hidden="1" x14ac:dyDescent="0.3"/>
    <row r="4743" hidden="1" x14ac:dyDescent="0.3"/>
    <row r="4744" hidden="1" x14ac:dyDescent="0.3"/>
    <row r="4745" hidden="1" x14ac:dyDescent="0.3"/>
    <row r="4746" hidden="1" x14ac:dyDescent="0.3"/>
    <row r="4747" hidden="1" x14ac:dyDescent="0.3"/>
    <row r="4748" hidden="1" x14ac:dyDescent="0.3"/>
    <row r="4749" hidden="1" x14ac:dyDescent="0.3"/>
    <row r="4750" hidden="1" x14ac:dyDescent="0.3"/>
    <row r="4751" hidden="1" x14ac:dyDescent="0.3"/>
    <row r="4752" hidden="1" x14ac:dyDescent="0.3"/>
    <row r="4753" hidden="1" x14ac:dyDescent="0.3"/>
    <row r="4754" hidden="1" x14ac:dyDescent="0.3"/>
    <row r="4755" hidden="1" x14ac:dyDescent="0.3"/>
    <row r="4756" hidden="1" x14ac:dyDescent="0.3"/>
    <row r="4757" hidden="1" x14ac:dyDescent="0.3"/>
    <row r="4758" hidden="1" x14ac:dyDescent="0.3"/>
    <row r="4759" hidden="1" x14ac:dyDescent="0.3"/>
    <row r="4760" hidden="1" x14ac:dyDescent="0.3"/>
    <row r="4761" hidden="1" x14ac:dyDescent="0.3"/>
    <row r="4762" hidden="1" x14ac:dyDescent="0.3"/>
    <row r="4763" hidden="1" x14ac:dyDescent="0.3"/>
    <row r="4764" hidden="1" x14ac:dyDescent="0.3"/>
    <row r="4765" hidden="1" x14ac:dyDescent="0.3"/>
    <row r="4766" hidden="1" x14ac:dyDescent="0.3"/>
    <row r="4767" hidden="1" x14ac:dyDescent="0.3"/>
    <row r="4768" hidden="1" x14ac:dyDescent="0.3"/>
    <row r="4769" hidden="1" x14ac:dyDescent="0.3"/>
    <row r="4770" hidden="1" x14ac:dyDescent="0.3"/>
    <row r="4771" hidden="1" x14ac:dyDescent="0.3"/>
    <row r="4772" hidden="1" x14ac:dyDescent="0.3"/>
    <row r="4773" hidden="1" x14ac:dyDescent="0.3"/>
    <row r="4774" hidden="1" x14ac:dyDescent="0.3"/>
    <row r="4775" hidden="1" x14ac:dyDescent="0.3"/>
    <row r="4776" hidden="1" x14ac:dyDescent="0.3"/>
    <row r="4777" hidden="1" x14ac:dyDescent="0.3"/>
    <row r="4778" hidden="1" x14ac:dyDescent="0.3"/>
    <row r="4779" hidden="1" x14ac:dyDescent="0.3"/>
    <row r="4780" hidden="1" x14ac:dyDescent="0.3"/>
    <row r="4781" hidden="1" x14ac:dyDescent="0.3"/>
    <row r="4782" hidden="1" x14ac:dyDescent="0.3"/>
    <row r="4783" hidden="1" x14ac:dyDescent="0.3"/>
    <row r="4784" hidden="1" x14ac:dyDescent="0.3"/>
    <row r="4785" hidden="1" x14ac:dyDescent="0.3"/>
    <row r="4786" hidden="1" x14ac:dyDescent="0.3"/>
    <row r="4787" hidden="1" x14ac:dyDescent="0.3"/>
    <row r="4788" hidden="1" x14ac:dyDescent="0.3"/>
    <row r="4789" hidden="1" x14ac:dyDescent="0.3"/>
    <row r="4790" hidden="1" x14ac:dyDescent="0.3"/>
    <row r="4791" hidden="1" x14ac:dyDescent="0.3"/>
    <row r="4792" hidden="1" x14ac:dyDescent="0.3"/>
    <row r="4793" hidden="1" x14ac:dyDescent="0.3"/>
    <row r="4794" hidden="1" x14ac:dyDescent="0.3"/>
    <row r="4795" hidden="1" x14ac:dyDescent="0.3"/>
    <row r="4796" hidden="1" x14ac:dyDescent="0.3"/>
    <row r="4797" hidden="1" x14ac:dyDescent="0.3"/>
    <row r="4798" hidden="1" x14ac:dyDescent="0.3"/>
    <row r="4799" hidden="1" x14ac:dyDescent="0.3"/>
    <row r="4800" hidden="1" x14ac:dyDescent="0.3"/>
    <row r="4801" hidden="1" x14ac:dyDescent="0.3"/>
    <row r="4802" hidden="1" x14ac:dyDescent="0.3"/>
    <row r="4803" hidden="1" x14ac:dyDescent="0.3"/>
    <row r="4804" hidden="1" x14ac:dyDescent="0.3"/>
    <row r="4805" hidden="1" x14ac:dyDescent="0.3"/>
    <row r="4806" hidden="1" x14ac:dyDescent="0.3"/>
    <row r="4807" hidden="1" x14ac:dyDescent="0.3"/>
    <row r="4808" hidden="1" x14ac:dyDescent="0.3"/>
    <row r="4809" hidden="1" x14ac:dyDescent="0.3"/>
    <row r="4810" hidden="1" x14ac:dyDescent="0.3"/>
    <row r="4811" hidden="1" x14ac:dyDescent="0.3"/>
    <row r="4812" hidden="1" x14ac:dyDescent="0.3"/>
    <row r="4813" hidden="1" x14ac:dyDescent="0.3"/>
    <row r="4814" hidden="1" x14ac:dyDescent="0.3"/>
    <row r="4815" hidden="1" x14ac:dyDescent="0.3"/>
    <row r="4816" hidden="1" x14ac:dyDescent="0.3"/>
    <row r="4817" hidden="1" x14ac:dyDescent="0.3"/>
    <row r="4818" hidden="1" x14ac:dyDescent="0.3"/>
    <row r="4819" hidden="1" x14ac:dyDescent="0.3"/>
    <row r="4820" hidden="1" x14ac:dyDescent="0.3"/>
    <row r="4821" hidden="1" x14ac:dyDescent="0.3"/>
    <row r="4822" hidden="1" x14ac:dyDescent="0.3"/>
    <row r="4823" hidden="1" x14ac:dyDescent="0.3"/>
    <row r="4824" hidden="1" x14ac:dyDescent="0.3"/>
    <row r="4825" hidden="1" x14ac:dyDescent="0.3"/>
    <row r="4826" hidden="1" x14ac:dyDescent="0.3"/>
    <row r="4827" hidden="1" x14ac:dyDescent="0.3"/>
    <row r="4828" hidden="1" x14ac:dyDescent="0.3"/>
    <row r="4829" hidden="1" x14ac:dyDescent="0.3"/>
    <row r="4830" hidden="1" x14ac:dyDescent="0.3"/>
    <row r="4831" hidden="1" x14ac:dyDescent="0.3"/>
    <row r="4832" hidden="1" x14ac:dyDescent="0.3"/>
    <row r="4833" hidden="1" x14ac:dyDescent="0.3"/>
    <row r="4834" hidden="1" x14ac:dyDescent="0.3"/>
    <row r="4835" hidden="1" x14ac:dyDescent="0.3"/>
    <row r="4836" hidden="1" x14ac:dyDescent="0.3"/>
    <row r="4837" hidden="1" x14ac:dyDescent="0.3"/>
    <row r="4838" hidden="1" x14ac:dyDescent="0.3"/>
    <row r="4839" hidden="1" x14ac:dyDescent="0.3"/>
    <row r="4840" hidden="1" x14ac:dyDescent="0.3"/>
    <row r="4841" hidden="1" x14ac:dyDescent="0.3"/>
    <row r="4842" hidden="1" x14ac:dyDescent="0.3"/>
    <row r="4843" hidden="1" x14ac:dyDescent="0.3"/>
    <row r="4844" hidden="1" x14ac:dyDescent="0.3"/>
    <row r="4845" hidden="1" x14ac:dyDescent="0.3"/>
    <row r="4846" hidden="1" x14ac:dyDescent="0.3"/>
    <row r="4847" hidden="1" x14ac:dyDescent="0.3"/>
    <row r="4848" hidden="1" x14ac:dyDescent="0.3"/>
    <row r="4849" hidden="1" x14ac:dyDescent="0.3"/>
    <row r="4850" hidden="1" x14ac:dyDescent="0.3"/>
    <row r="4851" hidden="1" x14ac:dyDescent="0.3"/>
    <row r="4852" hidden="1" x14ac:dyDescent="0.3"/>
    <row r="4853" hidden="1" x14ac:dyDescent="0.3"/>
    <row r="4854" hidden="1" x14ac:dyDescent="0.3"/>
    <row r="4855" hidden="1" x14ac:dyDescent="0.3"/>
    <row r="4856" hidden="1" x14ac:dyDescent="0.3"/>
    <row r="4857" hidden="1" x14ac:dyDescent="0.3"/>
    <row r="4858" hidden="1" x14ac:dyDescent="0.3"/>
    <row r="4859" hidden="1" x14ac:dyDescent="0.3"/>
    <row r="4860" hidden="1" x14ac:dyDescent="0.3"/>
    <row r="4861" hidden="1" x14ac:dyDescent="0.3"/>
    <row r="4862" hidden="1" x14ac:dyDescent="0.3"/>
    <row r="4863" hidden="1" x14ac:dyDescent="0.3"/>
    <row r="4864" hidden="1" x14ac:dyDescent="0.3"/>
    <row r="4865" hidden="1" x14ac:dyDescent="0.3"/>
    <row r="4866" hidden="1" x14ac:dyDescent="0.3"/>
    <row r="4867" hidden="1" x14ac:dyDescent="0.3"/>
    <row r="4868" hidden="1" x14ac:dyDescent="0.3"/>
    <row r="4869" hidden="1" x14ac:dyDescent="0.3"/>
    <row r="4870" hidden="1" x14ac:dyDescent="0.3"/>
    <row r="4871" hidden="1" x14ac:dyDescent="0.3"/>
    <row r="4872" hidden="1" x14ac:dyDescent="0.3"/>
    <row r="4873" hidden="1" x14ac:dyDescent="0.3"/>
    <row r="4874" hidden="1" x14ac:dyDescent="0.3"/>
    <row r="4875" hidden="1" x14ac:dyDescent="0.3"/>
    <row r="4876" hidden="1" x14ac:dyDescent="0.3"/>
    <row r="4877" hidden="1" x14ac:dyDescent="0.3"/>
    <row r="4878" hidden="1" x14ac:dyDescent="0.3"/>
    <row r="4879" hidden="1" x14ac:dyDescent="0.3"/>
    <row r="4880" hidden="1" x14ac:dyDescent="0.3"/>
    <row r="4881" hidden="1" x14ac:dyDescent="0.3"/>
    <row r="4882" hidden="1" x14ac:dyDescent="0.3"/>
    <row r="4883" hidden="1" x14ac:dyDescent="0.3"/>
    <row r="4884" hidden="1" x14ac:dyDescent="0.3"/>
    <row r="4885" hidden="1" x14ac:dyDescent="0.3"/>
    <row r="4886" hidden="1" x14ac:dyDescent="0.3"/>
    <row r="4887" hidden="1" x14ac:dyDescent="0.3"/>
    <row r="4888" hidden="1" x14ac:dyDescent="0.3"/>
    <row r="4889" hidden="1" x14ac:dyDescent="0.3"/>
    <row r="4890" hidden="1" x14ac:dyDescent="0.3"/>
    <row r="4891" hidden="1" x14ac:dyDescent="0.3"/>
    <row r="4892" hidden="1" x14ac:dyDescent="0.3"/>
    <row r="4893" hidden="1" x14ac:dyDescent="0.3"/>
    <row r="4894" hidden="1" x14ac:dyDescent="0.3"/>
    <row r="4895" hidden="1" x14ac:dyDescent="0.3"/>
    <row r="4896" hidden="1" x14ac:dyDescent="0.3"/>
    <row r="4897" hidden="1" x14ac:dyDescent="0.3"/>
    <row r="4898" hidden="1" x14ac:dyDescent="0.3"/>
    <row r="4899" hidden="1" x14ac:dyDescent="0.3"/>
    <row r="4900" hidden="1" x14ac:dyDescent="0.3"/>
    <row r="4901" hidden="1" x14ac:dyDescent="0.3"/>
    <row r="4902" hidden="1" x14ac:dyDescent="0.3"/>
    <row r="4903" hidden="1" x14ac:dyDescent="0.3"/>
    <row r="4904" hidden="1" x14ac:dyDescent="0.3"/>
    <row r="4905" hidden="1" x14ac:dyDescent="0.3"/>
    <row r="4906" hidden="1" x14ac:dyDescent="0.3"/>
    <row r="4907" hidden="1" x14ac:dyDescent="0.3"/>
    <row r="4908" hidden="1" x14ac:dyDescent="0.3"/>
    <row r="4909" hidden="1" x14ac:dyDescent="0.3"/>
    <row r="4910" hidden="1" x14ac:dyDescent="0.3"/>
    <row r="4911" hidden="1" x14ac:dyDescent="0.3"/>
    <row r="4912" hidden="1" x14ac:dyDescent="0.3"/>
    <row r="4913" hidden="1" x14ac:dyDescent="0.3"/>
    <row r="4914" hidden="1" x14ac:dyDescent="0.3"/>
    <row r="4915" hidden="1" x14ac:dyDescent="0.3"/>
    <row r="4916" hidden="1" x14ac:dyDescent="0.3"/>
    <row r="4917" hidden="1" x14ac:dyDescent="0.3"/>
    <row r="4918" hidden="1" x14ac:dyDescent="0.3"/>
    <row r="4919" hidden="1" x14ac:dyDescent="0.3"/>
    <row r="4920" hidden="1" x14ac:dyDescent="0.3"/>
    <row r="4921" hidden="1" x14ac:dyDescent="0.3"/>
    <row r="4922" hidden="1" x14ac:dyDescent="0.3"/>
    <row r="4923" hidden="1" x14ac:dyDescent="0.3"/>
    <row r="4924" hidden="1" x14ac:dyDescent="0.3"/>
    <row r="4925" hidden="1" x14ac:dyDescent="0.3"/>
    <row r="4926" hidden="1" x14ac:dyDescent="0.3"/>
    <row r="4927" hidden="1" x14ac:dyDescent="0.3"/>
    <row r="4928" hidden="1" x14ac:dyDescent="0.3"/>
    <row r="4929" hidden="1" x14ac:dyDescent="0.3"/>
    <row r="4930" hidden="1" x14ac:dyDescent="0.3"/>
    <row r="4931" hidden="1" x14ac:dyDescent="0.3"/>
    <row r="4932" hidden="1" x14ac:dyDescent="0.3"/>
    <row r="4933" hidden="1" x14ac:dyDescent="0.3"/>
    <row r="4934" hidden="1" x14ac:dyDescent="0.3"/>
    <row r="4935" hidden="1" x14ac:dyDescent="0.3"/>
    <row r="4936" hidden="1" x14ac:dyDescent="0.3"/>
    <row r="4937" hidden="1" x14ac:dyDescent="0.3"/>
    <row r="4938" hidden="1" x14ac:dyDescent="0.3"/>
    <row r="4939" hidden="1" x14ac:dyDescent="0.3"/>
    <row r="4940" hidden="1" x14ac:dyDescent="0.3"/>
    <row r="4941" hidden="1" x14ac:dyDescent="0.3"/>
    <row r="4942" hidden="1" x14ac:dyDescent="0.3"/>
    <row r="4943" hidden="1" x14ac:dyDescent="0.3"/>
    <row r="4944" hidden="1" x14ac:dyDescent="0.3"/>
    <row r="4945" hidden="1" x14ac:dyDescent="0.3"/>
    <row r="4946" hidden="1" x14ac:dyDescent="0.3"/>
    <row r="4947" hidden="1" x14ac:dyDescent="0.3"/>
    <row r="4948" hidden="1" x14ac:dyDescent="0.3"/>
    <row r="4949" hidden="1" x14ac:dyDescent="0.3"/>
    <row r="4950" hidden="1" x14ac:dyDescent="0.3"/>
    <row r="4951" hidden="1" x14ac:dyDescent="0.3"/>
    <row r="4952" hidden="1" x14ac:dyDescent="0.3"/>
    <row r="4953" hidden="1" x14ac:dyDescent="0.3"/>
    <row r="4954" hidden="1" x14ac:dyDescent="0.3"/>
    <row r="4955" hidden="1" x14ac:dyDescent="0.3"/>
    <row r="4956" hidden="1" x14ac:dyDescent="0.3"/>
    <row r="4957" hidden="1" x14ac:dyDescent="0.3"/>
    <row r="4958" hidden="1" x14ac:dyDescent="0.3"/>
    <row r="4959" hidden="1" x14ac:dyDescent="0.3"/>
    <row r="4960" hidden="1" x14ac:dyDescent="0.3"/>
    <row r="4961" hidden="1" x14ac:dyDescent="0.3"/>
    <row r="4962" hidden="1" x14ac:dyDescent="0.3"/>
    <row r="4963" hidden="1" x14ac:dyDescent="0.3"/>
    <row r="4964" hidden="1" x14ac:dyDescent="0.3"/>
    <row r="4965" hidden="1" x14ac:dyDescent="0.3"/>
    <row r="4966" hidden="1" x14ac:dyDescent="0.3"/>
    <row r="4967" hidden="1" x14ac:dyDescent="0.3"/>
    <row r="4968" hidden="1" x14ac:dyDescent="0.3"/>
    <row r="4969" hidden="1" x14ac:dyDescent="0.3"/>
    <row r="4970" hidden="1" x14ac:dyDescent="0.3"/>
    <row r="4971" hidden="1" x14ac:dyDescent="0.3"/>
    <row r="4972" hidden="1" x14ac:dyDescent="0.3"/>
    <row r="4973" hidden="1" x14ac:dyDescent="0.3"/>
    <row r="4974" hidden="1" x14ac:dyDescent="0.3"/>
    <row r="4975" hidden="1" x14ac:dyDescent="0.3"/>
    <row r="4976" hidden="1" x14ac:dyDescent="0.3"/>
    <row r="4977" hidden="1" x14ac:dyDescent="0.3"/>
    <row r="4978" hidden="1" x14ac:dyDescent="0.3"/>
    <row r="4979" hidden="1" x14ac:dyDescent="0.3"/>
    <row r="4980" hidden="1" x14ac:dyDescent="0.3"/>
    <row r="4981" hidden="1" x14ac:dyDescent="0.3"/>
    <row r="4982" hidden="1" x14ac:dyDescent="0.3"/>
    <row r="4983" hidden="1" x14ac:dyDescent="0.3"/>
    <row r="4984" hidden="1" x14ac:dyDescent="0.3"/>
    <row r="4985" hidden="1" x14ac:dyDescent="0.3"/>
    <row r="4986" hidden="1" x14ac:dyDescent="0.3"/>
    <row r="4987" hidden="1" x14ac:dyDescent="0.3"/>
    <row r="4988" hidden="1" x14ac:dyDescent="0.3"/>
    <row r="4989" hidden="1" x14ac:dyDescent="0.3"/>
    <row r="4990" hidden="1" x14ac:dyDescent="0.3"/>
    <row r="4991" hidden="1" x14ac:dyDescent="0.3"/>
    <row r="4992" hidden="1" x14ac:dyDescent="0.3"/>
    <row r="4993" hidden="1" x14ac:dyDescent="0.3"/>
    <row r="4994" hidden="1" x14ac:dyDescent="0.3"/>
    <row r="4995" hidden="1" x14ac:dyDescent="0.3"/>
    <row r="4996" hidden="1" x14ac:dyDescent="0.3"/>
    <row r="4997" hidden="1" x14ac:dyDescent="0.3"/>
  </sheetData>
  <mergeCells count="2">
    <mergeCell ref="A1:D1"/>
    <mergeCell ref="A2:D2"/>
  </mergeCells>
  <conditionalFormatting sqref="D4:D8">
    <cfRule type="expression" dxfId="63" priority="1">
      <formula>$D4="Erfüllt"</formula>
    </cfRule>
    <cfRule type="expression" dxfId="62" priority="2">
      <formula>$D4="Nicht erfüllt"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EBC9-B0D5-4340-BD71-4C124F06BEDB}">
  <dimension ref="A1:L4998"/>
  <sheetViews>
    <sheetView showGridLines="0" zoomScale="85" zoomScaleNormal="85" workbookViewId="0">
      <selection activeCell="D5" sqref="D5"/>
    </sheetView>
  </sheetViews>
  <sheetFormatPr baseColWidth="10" defaultRowHeight="14.4" x14ac:dyDescent="0.3"/>
  <cols>
    <col min="1" max="1" width="21.33203125" customWidth="1"/>
    <col min="2" max="2" width="20" customWidth="1"/>
    <col min="3" max="3" width="22.88671875" customWidth="1"/>
    <col min="4" max="5" width="21.33203125" customWidth="1"/>
    <col min="6" max="6" width="16.6640625" customWidth="1"/>
    <col min="7" max="7" width="15.5546875" customWidth="1"/>
    <col min="8" max="8" width="14.88671875" hidden="1" customWidth="1"/>
    <col min="9" max="9" width="28.5546875" hidden="1" customWidth="1"/>
    <col min="10" max="10" width="3.44140625" hidden="1" customWidth="1"/>
    <col min="11" max="11" width="20" hidden="1" customWidth="1"/>
    <col min="12" max="12" width="13.33203125" hidden="1" customWidth="1"/>
    <col min="13" max="50" width="0" hidden="1" customWidth="1"/>
  </cols>
  <sheetData>
    <row r="1" spans="1:12" ht="32.1" customHeight="1" x14ac:dyDescent="0.4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4"/>
      <c r="K1" s="24"/>
      <c r="L1" s="24"/>
    </row>
    <row r="2" spans="1:12" ht="15" thickBot="1" x14ac:dyDescent="0.35">
      <c r="A2" s="25" t="s">
        <v>1</v>
      </c>
      <c r="B2" s="25"/>
      <c r="C2" s="25"/>
      <c r="D2" s="25"/>
      <c r="E2" s="25" t="s">
        <v>8</v>
      </c>
      <c r="F2" s="25"/>
      <c r="G2" s="25"/>
      <c r="H2" s="25"/>
      <c r="I2" s="25"/>
      <c r="J2" s="26"/>
      <c r="K2" s="48" t="s">
        <v>23</v>
      </c>
      <c r="L2" s="50">
        <f>AVERAGE(tblUsabilityTest[Die Anwendung ist intuitiv bedienbar.])</f>
        <v>4.2</v>
      </c>
    </row>
    <row r="3" spans="1:12" x14ac:dyDescent="0.3">
      <c r="A3" s="28" t="s">
        <v>2</v>
      </c>
      <c r="B3" s="29"/>
      <c r="C3" s="29"/>
      <c r="D3" s="35">
        <f>ROWS(tblUsabilityTest[Durchschnittliche Bewertung])</f>
        <v>10</v>
      </c>
      <c r="E3" s="39" t="s">
        <v>9</v>
      </c>
      <c r="F3" s="40"/>
      <c r="G3" s="40"/>
      <c r="H3" s="40"/>
      <c r="I3" s="41"/>
      <c r="J3" s="15"/>
      <c r="K3" s="49" t="s">
        <v>24</v>
      </c>
      <c r="L3" s="50">
        <f>AVERAGE(tblUsabilityTest[Die Terminfindung ist verständlich.])</f>
        <v>4.0999999999999996</v>
      </c>
    </row>
    <row r="4" spans="1:12" x14ac:dyDescent="0.3">
      <c r="A4" s="30" t="s">
        <v>3</v>
      </c>
      <c r="B4" s="31"/>
      <c r="C4" s="31"/>
      <c r="D4" s="36">
        <f>AVERAGE(tblUsabilityTest[Durchschnittliche Bewertung])</f>
        <v>4.0999999999999996</v>
      </c>
      <c r="E4" s="42" t="s">
        <v>10</v>
      </c>
      <c r="F4" s="43"/>
      <c r="G4" s="43"/>
      <c r="H4" s="43"/>
      <c r="I4" s="44"/>
      <c r="J4" s="15"/>
      <c r="K4" s="49" t="s">
        <v>25</v>
      </c>
      <c r="L4" s="50">
        <f>AVERAGE(tblUsabilityTest[Die Darstellung der Informationen ist übersichtlich.])</f>
        <v>4</v>
      </c>
    </row>
    <row r="5" spans="1:12" x14ac:dyDescent="0.3">
      <c r="A5" s="30" t="s">
        <v>4</v>
      </c>
      <c r="B5" s="31"/>
      <c r="C5" s="31"/>
      <c r="D5" s="37">
        <f>COUNTIF(tblUsabilityTest[Positive Bewertung],"Ja")</f>
        <v>9</v>
      </c>
      <c r="E5" s="42" t="s">
        <v>11</v>
      </c>
      <c r="F5" s="43"/>
      <c r="G5" s="43"/>
      <c r="H5" s="43"/>
      <c r="I5" s="44"/>
      <c r="J5" s="15"/>
      <c r="K5" s="49" t="s">
        <v>26</v>
      </c>
      <c r="L5" s="50">
        <f>AVERAGE(tblUsabilityTest[Die Kalenderintegration ist nachvollziehbar.])</f>
        <v>4.0999999999999996</v>
      </c>
    </row>
    <row r="6" spans="1:12" x14ac:dyDescent="0.3">
      <c r="A6" s="30" t="s">
        <v>5</v>
      </c>
      <c r="B6" s="31"/>
      <c r="C6" s="31"/>
      <c r="D6" s="38">
        <f>D5/D3</f>
        <v>0.9</v>
      </c>
      <c r="E6" s="42" t="s">
        <v>12</v>
      </c>
      <c r="F6" s="43"/>
      <c r="G6" s="43"/>
      <c r="H6" s="43"/>
      <c r="I6" s="44"/>
      <c r="J6" s="15"/>
      <c r="K6" s="49" t="s">
        <v>27</v>
      </c>
      <c r="L6" s="50">
        <f>AVERAGE(tblUsabilityTest[Ich würde TerminPilot erneut verwenden.])</f>
        <v>4.0999999999999996</v>
      </c>
    </row>
    <row r="7" spans="1:12" x14ac:dyDescent="0.3">
      <c r="A7" s="30" t="s">
        <v>6</v>
      </c>
      <c r="B7" s="31"/>
      <c r="C7" s="31"/>
      <c r="D7" s="38">
        <v>0.8</v>
      </c>
      <c r="E7" s="42" t="s">
        <v>13</v>
      </c>
      <c r="F7" s="43"/>
      <c r="G7" s="43"/>
      <c r="H7" s="43"/>
      <c r="I7" s="44"/>
      <c r="J7" s="15"/>
      <c r="K7" s="15"/>
      <c r="L7" s="15"/>
    </row>
    <row r="8" spans="1:12" ht="15" thickBot="1" x14ac:dyDescent="0.35">
      <c r="A8" s="32" t="s">
        <v>7</v>
      </c>
      <c r="B8" s="33"/>
      <c r="C8" s="33"/>
      <c r="D8" s="34" t="str">
        <f>IF(D6&gt;=D7,"Erfüllt","Nicht erfüllt")</f>
        <v>Erfüllt</v>
      </c>
      <c r="E8" s="45" t="s">
        <v>14</v>
      </c>
      <c r="F8" s="46"/>
      <c r="G8" s="46"/>
      <c r="H8" s="46"/>
      <c r="I8" s="47"/>
      <c r="J8" s="15"/>
      <c r="K8" s="15"/>
      <c r="L8" s="15"/>
    </row>
    <row r="9" spans="1:12" x14ac:dyDescent="0.3">
      <c r="A9" s="16"/>
      <c r="B9" s="16"/>
      <c r="C9" s="16"/>
      <c r="D9" s="16"/>
      <c r="E9" s="16"/>
      <c r="F9" s="16"/>
      <c r="G9" s="16"/>
      <c r="H9" s="15"/>
      <c r="I9" s="15"/>
      <c r="J9" s="15"/>
      <c r="K9" s="15"/>
      <c r="L9" s="15"/>
    </row>
    <row r="10" spans="1:12" ht="17.25" customHeight="1" x14ac:dyDescent="0.3">
      <c r="A10" s="27" t="s">
        <v>15</v>
      </c>
      <c r="B10" s="27"/>
      <c r="C10" s="27"/>
      <c r="D10" s="27"/>
      <c r="E10" s="27"/>
      <c r="F10" s="27"/>
      <c r="G10" s="27"/>
      <c r="H10" s="26"/>
      <c r="I10" s="26"/>
      <c r="J10" s="26"/>
      <c r="K10" s="26"/>
      <c r="L10" s="26"/>
    </row>
    <row r="11" spans="1:12" ht="42" thickBot="1" x14ac:dyDescent="0.35">
      <c r="A11" s="51" t="s">
        <v>16</v>
      </c>
      <c r="B11" s="52" t="s">
        <v>17</v>
      </c>
      <c r="C11" s="52" t="s">
        <v>18</v>
      </c>
      <c r="D11" s="52" t="s">
        <v>19</v>
      </c>
      <c r="E11" s="52" t="s">
        <v>20</v>
      </c>
      <c r="F11" s="52" t="s">
        <v>21</v>
      </c>
      <c r="G11" s="53" t="s">
        <v>22</v>
      </c>
      <c r="H11" s="15"/>
      <c r="I11" s="15"/>
      <c r="J11" s="15"/>
      <c r="K11" s="15"/>
      <c r="L11" s="15"/>
    </row>
    <row r="12" spans="1:12" ht="15.6" thickTop="1" thickBot="1" x14ac:dyDescent="0.35">
      <c r="A12" s="17">
        <v>5</v>
      </c>
      <c r="B12" s="18">
        <v>4</v>
      </c>
      <c r="C12" s="18">
        <v>4</v>
      </c>
      <c r="D12" s="18">
        <v>5</v>
      </c>
      <c r="E12" s="18">
        <v>4</v>
      </c>
      <c r="F12" s="19">
        <f>AVERAGE(tblUsabilityTest[[#This Row],[Die Anwendung ist intuitiv bedienbar.]]:tblUsabilityTest[[#This Row],[Ich würde TerminPilot erneut verwenden.]])</f>
        <v>4.4000000000000004</v>
      </c>
      <c r="G12" s="2" t="str">
        <f>IF(tblUsabilityTest[[#This Row],[Durchschnittliche Bewertung]]&gt;=4,"Ja","Nein")</f>
        <v>Ja</v>
      </c>
      <c r="H12" s="15"/>
      <c r="I12" s="15"/>
      <c r="J12" s="15"/>
      <c r="K12" s="15"/>
      <c r="L12" s="15"/>
    </row>
    <row r="13" spans="1:12" ht="15.6" thickTop="1" thickBot="1" x14ac:dyDescent="0.35">
      <c r="A13" s="17">
        <v>4</v>
      </c>
      <c r="B13" s="18">
        <v>4</v>
      </c>
      <c r="C13" s="18">
        <v>4</v>
      </c>
      <c r="D13" s="18">
        <v>4</v>
      </c>
      <c r="E13" s="18">
        <v>4</v>
      </c>
      <c r="F13" s="19">
        <f>AVERAGE(tblUsabilityTest[[#This Row],[Die Anwendung ist intuitiv bedienbar.]]:tblUsabilityTest[[#This Row],[Ich würde TerminPilot erneut verwenden.]])</f>
        <v>4</v>
      </c>
      <c r="G13" s="2" t="str">
        <f>IF(tblUsabilityTest[[#This Row],[Durchschnittliche Bewertung]]&gt;=4,"Ja","Nein")</f>
        <v>Ja</v>
      </c>
      <c r="H13" s="15"/>
      <c r="I13" s="15"/>
      <c r="J13" s="15"/>
      <c r="K13" s="15"/>
      <c r="L13" s="15"/>
    </row>
    <row r="14" spans="1:12" ht="15.6" thickTop="1" thickBot="1" x14ac:dyDescent="0.35">
      <c r="A14" s="17">
        <v>4</v>
      </c>
      <c r="B14" s="18">
        <v>4</v>
      </c>
      <c r="C14" s="18">
        <v>4</v>
      </c>
      <c r="D14" s="18">
        <v>4</v>
      </c>
      <c r="E14" s="18">
        <v>4</v>
      </c>
      <c r="F14" s="19">
        <f>AVERAGE(tblUsabilityTest[[#This Row],[Die Anwendung ist intuitiv bedienbar.]]:tblUsabilityTest[[#This Row],[Ich würde TerminPilot erneut verwenden.]])</f>
        <v>4</v>
      </c>
      <c r="G14" s="2" t="str">
        <f>IF(tblUsabilityTest[[#This Row],[Durchschnittliche Bewertung]]&gt;=4,"Ja","Nein")</f>
        <v>Ja</v>
      </c>
      <c r="H14" s="15"/>
      <c r="I14" s="15"/>
      <c r="J14" s="15"/>
      <c r="K14" s="15"/>
      <c r="L14" s="15"/>
    </row>
    <row r="15" spans="1:12" ht="15.6" thickTop="1" thickBot="1" x14ac:dyDescent="0.35">
      <c r="A15" s="17">
        <v>5</v>
      </c>
      <c r="B15" s="18">
        <v>5</v>
      </c>
      <c r="C15" s="18">
        <v>4</v>
      </c>
      <c r="D15" s="18">
        <v>5</v>
      </c>
      <c r="E15" s="18">
        <v>5</v>
      </c>
      <c r="F15" s="19">
        <f>AVERAGE(tblUsabilityTest[[#This Row],[Die Anwendung ist intuitiv bedienbar.]]:tblUsabilityTest[[#This Row],[Ich würde TerminPilot erneut verwenden.]])</f>
        <v>4.8</v>
      </c>
      <c r="G15" s="2" t="str">
        <f>IF(tblUsabilityTest[[#This Row],[Durchschnittliche Bewertung]]&gt;=4,"Ja","Nein")</f>
        <v>Ja</v>
      </c>
      <c r="H15" s="15"/>
      <c r="I15" s="15"/>
      <c r="J15" s="15"/>
      <c r="K15" s="15"/>
      <c r="L15" s="15"/>
    </row>
    <row r="16" spans="1:12" ht="15.6" thickTop="1" thickBot="1" x14ac:dyDescent="0.35">
      <c r="A16" s="17">
        <v>4</v>
      </c>
      <c r="B16" s="18">
        <v>4</v>
      </c>
      <c r="C16" s="18">
        <v>4</v>
      </c>
      <c r="D16" s="18">
        <v>4</v>
      </c>
      <c r="E16" s="18">
        <v>4</v>
      </c>
      <c r="F16" s="19">
        <f>AVERAGE(tblUsabilityTest[[#This Row],[Die Anwendung ist intuitiv bedienbar.]]:tblUsabilityTest[[#This Row],[Ich würde TerminPilot erneut verwenden.]])</f>
        <v>4</v>
      </c>
      <c r="G16" s="2" t="str">
        <f>IF(tblUsabilityTest[[#This Row],[Durchschnittliche Bewertung]]&gt;=4,"Ja","Nein")</f>
        <v>Ja</v>
      </c>
      <c r="H16" s="15"/>
      <c r="I16" s="15"/>
      <c r="J16" s="15"/>
      <c r="K16" s="15"/>
      <c r="L16" s="15"/>
    </row>
    <row r="17" spans="1:12" ht="15.6" thickTop="1" thickBot="1" x14ac:dyDescent="0.35">
      <c r="A17" s="17">
        <v>4</v>
      </c>
      <c r="B17" s="18">
        <v>5</v>
      </c>
      <c r="C17" s="18">
        <v>4</v>
      </c>
      <c r="D17" s="18">
        <v>4</v>
      </c>
      <c r="E17" s="18">
        <v>4</v>
      </c>
      <c r="F17" s="19">
        <f>AVERAGE(tblUsabilityTest[[#This Row],[Die Anwendung ist intuitiv bedienbar.]]:tblUsabilityTest[[#This Row],[Ich würde TerminPilot erneut verwenden.]])</f>
        <v>4.2</v>
      </c>
      <c r="G17" s="2" t="str">
        <f>IF(tblUsabilityTest[[#This Row],[Durchschnittliche Bewertung]]&gt;=4,"Ja","Nein")</f>
        <v>Ja</v>
      </c>
      <c r="H17" s="15"/>
      <c r="I17" s="15"/>
      <c r="J17" s="15"/>
      <c r="K17" s="15"/>
      <c r="L17" s="15"/>
    </row>
    <row r="18" spans="1:12" ht="15.6" thickTop="1" thickBot="1" x14ac:dyDescent="0.35">
      <c r="A18" s="17">
        <v>3</v>
      </c>
      <c r="B18" s="18">
        <v>3</v>
      </c>
      <c r="C18" s="18">
        <v>3</v>
      </c>
      <c r="D18" s="18">
        <v>3</v>
      </c>
      <c r="E18" s="18">
        <v>3</v>
      </c>
      <c r="F18" s="19">
        <f>AVERAGE(tblUsabilityTest[[#This Row],[Die Anwendung ist intuitiv bedienbar.]]:tblUsabilityTest[[#This Row],[Ich würde TerminPilot erneut verwenden.]])</f>
        <v>3</v>
      </c>
      <c r="G18" s="2" t="str">
        <f>IF(tblUsabilityTest[[#This Row],[Durchschnittliche Bewertung]]&gt;=4,"Ja","Nein")</f>
        <v>Nein</v>
      </c>
      <c r="H18" s="15"/>
      <c r="I18" s="15"/>
      <c r="J18" s="15"/>
      <c r="K18" s="15"/>
      <c r="L18" s="15"/>
    </row>
    <row r="19" spans="1:12" ht="15.6" thickTop="1" thickBot="1" x14ac:dyDescent="0.35">
      <c r="A19" s="17">
        <v>5</v>
      </c>
      <c r="B19" s="18">
        <v>4</v>
      </c>
      <c r="C19" s="18">
        <v>5</v>
      </c>
      <c r="D19" s="18">
        <v>4</v>
      </c>
      <c r="E19" s="18">
        <v>5</v>
      </c>
      <c r="F19" s="19">
        <f>AVERAGE(tblUsabilityTest[[#This Row],[Die Anwendung ist intuitiv bedienbar.]]:tblUsabilityTest[[#This Row],[Ich würde TerminPilot erneut verwenden.]])</f>
        <v>4.5999999999999996</v>
      </c>
      <c r="G19" s="2" t="str">
        <f>IF(tblUsabilityTest[[#This Row],[Durchschnittliche Bewertung]]&gt;=4,"Ja","Nein")</f>
        <v>Ja</v>
      </c>
      <c r="H19" s="15"/>
      <c r="I19" s="15"/>
      <c r="J19" s="15"/>
      <c r="K19" s="15"/>
      <c r="L19" s="15"/>
    </row>
    <row r="20" spans="1:12" ht="15.6" thickTop="1" thickBot="1" x14ac:dyDescent="0.35">
      <c r="A20" s="17">
        <v>4</v>
      </c>
      <c r="B20" s="18">
        <v>4</v>
      </c>
      <c r="C20" s="18">
        <v>4</v>
      </c>
      <c r="D20" s="18">
        <v>4</v>
      </c>
      <c r="E20" s="18">
        <v>4</v>
      </c>
      <c r="F20" s="19">
        <f>AVERAGE(tblUsabilityTest[[#This Row],[Die Anwendung ist intuitiv bedienbar.]]:tblUsabilityTest[[#This Row],[Ich würde TerminPilot erneut verwenden.]])</f>
        <v>4</v>
      </c>
      <c r="G20" s="2" t="str">
        <f>IF(tblUsabilityTest[[#This Row],[Durchschnittliche Bewertung]]&gt;=4,"Ja","Nein")</f>
        <v>Ja</v>
      </c>
      <c r="H20" s="15"/>
      <c r="I20" s="15"/>
      <c r="J20" s="15"/>
      <c r="K20" s="15"/>
      <c r="L20" s="15"/>
    </row>
    <row r="21" spans="1:12" ht="15" thickTop="1" x14ac:dyDescent="0.3">
      <c r="A21" s="20">
        <v>4</v>
      </c>
      <c r="B21" s="21">
        <v>4</v>
      </c>
      <c r="C21" s="21">
        <v>4</v>
      </c>
      <c r="D21" s="21">
        <v>4</v>
      </c>
      <c r="E21" s="21">
        <v>4</v>
      </c>
      <c r="F21" s="22">
        <f>AVERAGE(tblUsabilityTest[[#This Row],[Die Anwendung ist intuitiv bedienbar.]]:tblUsabilityTest[[#This Row],[Ich würde TerminPilot erneut verwenden.]])</f>
        <v>4</v>
      </c>
      <c r="G21" s="3" t="str">
        <f>IF(tblUsabilityTest[[#This Row],[Durchschnittliche Bewertung]]&gt;=4,"Ja","Nein")</f>
        <v>Ja</v>
      </c>
      <c r="H21" s="15"/>
      <c r="I21" s="15"/>
      <c r="J21" s="15"/>
      <c r="K21" s="15"/>
      <c r="L21" s="15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J27" s="1"/>
      <c r="K27" s="1"/>
      <c r="L27" s="1"/>
    </row>
    <row r="28" spans="1:12" ht="57.9" customHeight="1" x14ac:dyDescent="0.3">
      <c r="J28" s="1"/>
      <c r="K28" s="1"/>
      <c r="L28" s="1"/>
    </row>
    <row r="29" spans="1:12" x14ac:dyDescent="0.3">
      <c r="J29" s="1"/>
      <c r="K29" s="1"/>
      <c r="L29" s="1"/>
    </row>
    <row r="30" spans="1:12" x14ac:dyDescent="0.3">
      <c r="J30" s="1"/>
      <c r="K30" s="1"/>
      <c r="L30" s="1"/>
    </row>
    <row r="31" spans="1:12" x14ac:dyDescent="0.3">
      <c r="J31" s="1"/>
      <c r="K31" s="1"/>
      <c r="L31" s="1"/>
    </row>
    <row r="32" spans="1:12" x14ac:dyDescent="0.3">
      <c r="J32" s="1"/>
      <c r="K32" s="1"/>
      <c r="L32" s="1"/>
    </row>
    <row r="33" spans="10:12" x14ac:dyDescent="0.3">
      <c r="J33" s="1"/>
      <c r="K33" s="1"/>
      <c r="L33" s="1"/>
    </row>
    <row r="34" spans="10:12" x14ac:dyDescent="0.3">
      <c r="J34" s="1"/>
      <c r="K34" s="1"/>
      <c r="L34" s="1"/>
    </row>
    <row r="35" spans="10:12" x14ac:dyDescent="0.3">
      <c r="J35" s="1"/>
      <c r="K35" s="1"/>
      <c r="L35" s="1"/>
    </row>
    <row r="36" spans="10:12" x14ac:dyDescent="0.3">
      <c r="J36" s="1"/>
      <c r="K36" s="1"/>
      <c r="L36" s="1"/>
    </row>
    <row r="37" spans="10:12" x14ac:dyDescent="0.3">
      <c r="J37" s="1"/>
      <c r="K37" s="1"/>
      <c r="L37" s="1"/>
    </row>
    <row r="38" spans="10:12" hidden="1" x14ac:dyDescent="0.3">
      <c r="J38" s="1"/>
      <c r="K38" s="1"/>
      <c r="L38" s="1"/>
    </row>
    <row r="39" spans="10:12" hidden="1" x14ac:dyDescent="0.3">
      <c r="J39" s="1"/>
      <c r="K39" s="1"/>
      <c r="L39" s="1"/>
    </row>
    <row r="40" spans="10:12" hidden="1" x14ac:dyDescent="0.3">
      <c r="J40" s="1"/>
      <c r="K40" s="1"/>
      <c r="L40" s="1"/>
    </row>
    <row r="41" spans="10:12" hidden="1" x14ac:dyDescent="0.3">
      <c r="J41" s="1"/>
      <c r="K41" s="1"/>
      <c r="L41" s="1"/>
    </row>
    <row r="42" spans="10:12" hidden="1" x14ac:dyDescent="0.3">
      <c r="J42" s="1"/>
      <c r="K42" s="1"/>
      <c r="L42" s="1"/>
    </row>
    <row r="43" spans="10:12" hidden="1" x14ac:dyDescent="0.3">
      <c r="J43" s="1"/>
      <c r="K43" s="1"/>
      <c r="L43" s="1"/>
    </row>
    <row r="44" spans="10:12" hidden="1" x14ac:dyDescent="0.3">
      <c r="J44" s="1"/>
      <c r="K44" s="1"/>
      <c r="L44" s="1"/>
    </row>
    <row r="45" spans="10:12" hidden="1" x14ac:dyDescent="0.3">
      <c r="J45" s="1"/>
      <c r="K45" s="1"/>
      <c r="L45" s="1"/>
    </row>
    <row r="46" spans="10:12" hidden="1" x14ac:dyDescent="0.3">
      <c r="J46" s="1"/>
      <c r="K46" s="1"/>
      <c r="L46" s="1"/>
    </row>
    <row r="47" spans="10:12" hidden="1" x14ac:dyDescent="0.3">
      <c r="J47" s="1"/>
      <c r="K47" s="1"/>
      <c r="L47" s="1"/>
    </row>
    <row r="48" spans="10:12" hidden="1" x14ac:dyDescent="0.3">
      <c r="J48" s="1"/>
      <c r="K48" s="1"/>
      <c r="L48" s="1"/>
    </row>
    <row r="49" spans="10:12" hidden="1" x14ac:dyDescent="0.3">
      <c r="J49" s="1"/>
      <c r="K49" s="1"/>
      <c r="L49" s="1"/>
    </row>
    <row r="50" spans="10:12" hidden="1" x14ac:dyDescent="0.3">
      <c r="J50" s="1"/>
      <c r="K50" s="1"/>
      <c r="L50" s="1"/>
    </row>
    <row r="51" spans="10:12" hidden="1" x14ac:dyDescent="0.3">
      <c r="J51" s="1"/>
      <c r="K51" s="1"/>
      <c r="L51" s="1"/>
    </row>
    <row r="52" spans="10:12" hidden="1" x14ac:dyDescent="0.3">
      <c r="J52" s="1"/>
      <c r="K52" s="1"/>
      <c r="L52" s="1"/>
    </row>
    <row r="53" spans="10:12" hidden="1" x14ac:dyDescent="0.3">
      <c r="J53" s="1"/>
      <c r="K53" s="1"/>
      <c r="L53" s="1"/>
    </row>
    <row r="54" spans="10:12" hidden="1" x14ac:dyDescent="0.3">
      <c r="J54" s="1"/>
      <c r="K54" s="1"/>
      <c r="L54" s="1"/>
    </row>
    <row r="55" spans="10:12" hidden="1" x14ac:dyDescent="0.3">
      <c r="J55" s="1"/>
      <c r="K55" s="1"/>
      <c r="L55" s="1"/>
    </row>
    <row r="56" spans="10:12" hidden="1" x14ac:dyDescent="0.3">
      <c r="J56" s="1"/>
      <c r="K56" s="1"/>
      <c r="L56" s="1"/>
    </row>
    <row r="57" spans="10:12" hidden="1" x14ac:dyDescent="0.3">
      <c r="J57" s="1"/>
      <c r="K57" s="1"/>
      <c r="L57" s="1"/>
    </row>
    <row r="58" spans="10:12" hidden="1" x14ac:dyDescent="0.3">
      <c r="J58" s="1"/>
      <c r="K58" s="1"/>
      <c r="L58" s="1"/>
    </row>
    <row r="59" spans="10:12" hidden="1" x14ac:dyDescent="0.3">
      <c r="J59" s="1"/>
      <c r="K59" s="1"/>
      <c r="L59" s="1"/>
    </row>
    <row r="60" spans="10:12" hidden="1" x14ac:dyDescent="0.3">
      <c r="J60" s="1"/>
      <c r="K60" s="1"/>
      <c r="L60" s="1"/>
    </row>
    <row r="61" spans="10:12" hidden="1" x14ac:dyDescent="0.3">
      <c r="J61" s="1"/>
      <c r="K61" s="1"/>
      <c r="L61" s="1"/>
    </row>
    <row r="62" spans="10:12" hidden="1" x14ac:dyDescent="0.3">
      <c r="J62" s="1"/>
      <c r="K62" s="1"/>
      <c r="L62" s="1"/>
    </row>
    <row r="63" spans="10:12" hidden="1" x14ac:dyDescent="0.3">
      <c r="J63" s="1"/>
      <c r="K63" s="1"/>
      <c r="L63" s="1"/>
    </row>
    <row r="64" spans="10:12" hidden="1" x14ac:dyDescent="0.3">
      <c r="J64" s="1"/>
      <c r="K64" s="1"/>
      <c r="L64" s="1"/>
    </row>
    <row r="65" spans="10:12" hidden="1" x14ac:dyDescent="0.3">
      <c r="J65" s="1"/>
      <c r="K65" s="1"/>
      <c r="L65" s="1"/>
    </row>
    <row r="66" spans="10:12" hidden="1" x14ac:dyDescent="0.3">
      <c r="J66" s="1"/>
      <c r="K66" s="1"/>
      <c r="L66" s="1"/>
    </row>
    <row r="67" spans="10:12" hidden="1" x14ac:dyDescent="0.3">
      <c r="J67" s="1"/>
      <c r="K67" s="1"/>
      <c r="L67" s="1"/>
    </row>
    <row r="68" spans="10:12" hidden="1" x14ac:dyDescent="0.3">
      <c r="J68" s="1"/>
      <c r="K68" s="1"/>
      <c r="L68" s="1"/>
    </row>
    <row r="69" spans="10:12" hidden="1" x14ac:dyDescent="0.3">
      <c r="J69" s="1"/>
      <c r="K69" s="1"/>
      <c r="L69" s="1"/>
    </row>
    <row r="70" spans="10:12" hidden="1" x14ac:dyDescent="0.3">
      <c r="J70" s="1"/>
      <c r="K70" s="1"/>
      <c r="L70" s="1"/>
    </row>
    <row r="71" spans="10:12" hidden="1" x14ac:dyDescent="0.3">
      <c r="J71" s="1"/>
      <c r="K71" s="1"/>
      <c r="L71" s="1"/>
    </row>
    <row r="72" spans="10:12" hidden="1" x14ac:dyDescent="0.3">
      <c r="J72" s="1"/>
      <c r="K72" s="1"/>
      <c r="L72" s="1"/>
    </row>
    <row r="73" spans="10:12" hidden="1" x14ac:dyDescent="0.3">
      <c r="J73" s="1"/>
      <c r="K73" s="1"/>
      <c r="L73" s="1"/>
    </row>
    <row r="74" spans="10:12" hidden="1" x14ac:dyDescent="0.3">
      <c r="J74" s="1"/>
      <c r="K74" s="1"/>
      <c r="L74" s="1"/>
    </row>
    <row r="75" spans="10:12" hidden="1" x14ac:dyDescent="0.3">
      <c r="J75" s="1"/>
      <c r="K75" s="1"/>
      <c r="L75" s="1"/>
    </row>
    <row r="76" spans="10:12" hidden="1" x14ac:dyDescent="0.3">
      <c r="J76" s="1"/>
      <c r="K76" s="1"/>
      <c r="L76" s="1"/>
    </row>
    <row r="77" spans="10:12" hidden="1" x14ac:dyDescent="0.3">
      <c r="J77" s="1"/>
      <c r="K77" s="1"/>
      <c r="L77" s="1"/>
    </row>
    <row r="78" spans="10:12" hidden="1" x14ac:dyDescent="0.3">
      <c r="J78" s="1"/>
      <c r="K78" s="1"/>
      <c r="L78" s="1"/>
    </row>
    <row r="79" spans="10:12" hidden="1" x14ac:dyDescent="0.3">
      <c r="J79" s="1"/>
      <c r="K79" s="1"/>
      <c r="L79" s="1"/>
    </row>
    <row r="80" spans="10:12" hidden="1" x14ac:dyDescent="0.3">
      <c r="J80" s="1"/>
      <c r="K80" s="1"/>
      <c r="L80" s="1"/>
    </row>
    <row r="81" spans="10:12" hidden="1" x14ac:dyDescent="0.3">
      <c r="J81" s="1"/>
      <c r="K81" s="1"/>
      <c r="L81" s="1"/>
    </row>
    <row r="82" spans="10:12" hidden="1" x14ac:dyDescent="0.3">
      <c r="J82" s="1"/>
      <c r="K82" s="1"/>
      <c r="L82" s="1"/>
    </row>
    <row r="83" spans="10:12" hidden="1" x14ac:dyDescent="0.3">
      <c r="J83" s="1"/>
      <c r="K83" s="1"/>
      <c r="L83" s="1"/>
    </row>
    <row r="84" spans="10:12" hidden="1" x14ac:dyDescent="0.3">
      <c r="J84" s="1"/>
      <c r="K84" s="1"/>
      <c r="L84" s="1"/>
    </row>
    <row r="85" spans="10:12" hidden="1" x14ac:dyDescent="0.3">
      <c r="J85" s="1"/>
      <c r="K85" s="1"/>
      <c r="L85" s="1"/>
    </row>
    <row r="86" spans="10:12" hidden="1" x14ac:dyDescent="0.3">
      <c r="J86" s="1"/>
      <c r="K86" s="1"/>
      <c r="L86" s="1"/>
    </row>
    <row r="87" spans="10:12" hidden="1" x14ac:dyDescent="0.3">
      <c r="J87" s="1"/>
      <c r="K87" s="1"/>
      <c r="L87" s="1"/>
    </row>
    <row r="88" spans="10:12" hidden="1" x14ac:dyDescent="0.3">
      <c r="J88" s="1"/>
      <c r="K88" s="1"/>
      <c r="L88" s="1"/>
    </row>
    <row r="89" spans="10:12" hidden="1" x14ac:dyDescent="0.3">
      <c r="J89" s="1"/>
      <c r="K89" s="1"/>
      <c r="L89" s="1"/>
    </row>
    <row r="90" spans="10:12" hidden="1" x14ac:dyDescent="0.3">
      <c r="J90" s="1"/>
      <c r="K90" s="1"/>
      <c r="L90" s="1"/>
    </row>
    <row r="91" spans="10:12" hidden="1" x14ac:dyDescent="0.3">
      <c r="J91" s="1"/>
      <c r="K91" s="1"/>
      <c r="L91" s="1"/>
    </row>
    <row r="92" spans="10:12" hidden="1" x14ac:dyDescent="0.3">
      <c r="J92" s="1"/>
      <c r="K92" s="1"/>
      <c r="L92" s="1"/>
    </row>
    <row r="93" spans="10:12" hidden="1" x14ac:dyDescent="0.3">
      <c r="J93" s="1"/>
      <c r="K93" s="1"/>
      <c r="L93" s="1"/>
    </row>
    <row r="94" spans="10:12" hidden="1" x14ac:dyDescent="0.3">
      <c r="J94" s="1"/>
      <c r="K94" s="1"/>
      <c r="L94" s="1"/>
    </row>
    <row r="95" spans="10:12" hidden="1" x14ac:dyDescent="0.3">
      <c r="J95" s="1"/>
      <c r="K95" s="1"/>
      <c r="L95" s="1"/>
    </row>
    <row r="96" spans="10:12" hidden="1" x14ac:dyDescent="0.3">
      <c r="J96" s="1"/>
      <c r="K96" s="1"/>
      <c r="L96" s="1"/>
    </row>
    <row r="97" spans="10:12" hidden="1" x14ac:dyDescent="0.3">
      <c r="J97" s="1"/>
      <c r="K97" s="1"/>
      <c r="L97" s="1"/>
    </row>
    <row r="98" spans="10:12" hidden="1" x14ac:dyDescent="0.3">
      <c r="J98" s="1"/>
      <c r="K98" s="1"/>
      <c r="L98" s="1"/>
    </row>
    <row r="99" spans="10:12" hidden="1" x14ac:dyDescent="0.3">
      <c r="J99" s="1"/>
      <c r="K99" s="1"/>
      <c r="L99" s="1"/>
    </row>
    <row r="100" spans="10:12" hidden="1" x14ac:dyDescent="0.3">
      <c r="J100" s="1"/>
      <c r="K100" s="1"/>
      <c r="L100" s="1"/>
    </row>
    <row r="101" spans="10:12" hidden="1" x14ac:dyDescent="0.3">
      <c r="J101" s="1"/>
      <c r="K101" s="1"/>
      <c r="L101" s="1"/>
    </row>
    <row r="102" spans="10:12" hidden="1" x14ac:dyDescent="0.3">
      <c r="J102" s="1"/>
      <c r="K102" s="1"/>
      <c r="L102" s="1"/>
    </row>
    <row r="103" spans="10:12" hidden="1" x14ac:dyDescent="0.3">
      <c r="J103" s="1"/>
      <c r="K103" s="1"/>
      <c r="L103" s="1"/>
    </row>
    <row r="104" spans="10:12" hidden="1" x14ac:dyDescent="0.3">
      <c r="J104" s="1"/>
      <c r="K104" s="1"/>
      <c r="L104" s="1"/>
    </row>
    <row r="105" spans="10:12" hidden="1" x14ac:dyDescent="0.3">
      <c r="J105" s="1"/>
      <c r="K105" s="1"/>
      <c r="L105" s="1"/>
    </row>
    <row r="106" spans="10:12" hidden="1" x14ac:dyDescent="0.3">
      <c r="J106" s="1"/>
      <c r="K106" s="1"/>
      <c r="L106" s="1"/>
    </row>
    <row r="107" spans="10:12" hidden="1" x14ac:dyDescent="0.3">
      <c r="J107" s="1"/>
      <c r="K107" s="1"/>
      <c r="L107" s="1"/>
    </row>
    <row r="108" spans="10:12" hidden="1" x14ac:dyDescent="0.3">
      <c r="J108" s="1"/>
      <c r="K108" s="1"/>
      <c r="L108" s="1"/>
    </row>
    <row r="109" spans="10:12" hidden="1" x14ac:dyDescent="0.3">
      <c r="J109" s="1"/>
      <c r="K109" s="1"/>
      <c r="L109" s="1"/>
    </row>
    <row r="110" spans="10:12" hidden="1" x14ac:dyDescent="0.3">
      <c r="J110" s="1"/>
      <c r="K110" s="1"/>
      <c r="L110" s="1"/>
    </row>
    <row r="111" spans="10:12" hidden="1" x14ac:dyDescent="0.3">
      <c r="J111" s="1"/>
      <c r="K111" s="1"/>
      <c r="L111" s="1"/>
    </row>
    <row r="112" spans="10:12" hidden="1" x14ac:dyDescent="0.3">
      <c r="J112" s="1"/>
      <c r="K112" s="1"/>
      <c r="L112" s="1"/>
    </row>
    <row r="113" spans="10:12" hidden="1" x14ac:dyDescent="0.3">
      <c r="J113" s="1"/>
      <c r="K113" s="1"/>
      <c r="L113" s="1"/>
    </row>
    <row r="114" spans="10:12" hidden="1" x14ac:dyDescent="0.3">
      <c r="J114" s="1"/>
      <c r="K114" s="1"/>
      <c r="L114" s="1"/>
    </row>
    <row r="115" spans="10:12" hidden="1" x14ac:dyDescent="0.3">
      <c r="J115" s="1"/>
      <c r="K115" s="1"/>
      <c r="L115" s="1"/>
    </row>
    <row r="116" spans="10:12" hidden="1" x14ac:dyDescent="0.3">
      <c r="J116" s="1"/>
      <c r="K116" s="1"/>
      <c r="L116" s="1"/>
    </row>
    <row r="117" spans="10:12" hidden="1" x14ac:dyDescent="0.3">
      <c r="J117" s="1"/>
      <c r="K117" s="1"/>
      <c r="L117" s="1"/>
    </row>
    <row r="118" spans="10:12" hidden="1" x14ac:dyDescent="0.3">
      <c r="J118" s="1"/>
      <c r="K118" s="1"/>
      <c r="L118" s="1"/>
    </row>
    <row r="119" spans="10:12" hidden="1" x14ac:dyDescent="0.3">
      <c r="J119" s="1"/>
      <c r="K119" s="1"/>
      <c r="L119" s="1"/>
    </row>
    <row r="120" spans="10:12" hidden="1" x14ac:dyDescent="0.3">
      <c r="J120" s="1"/>
      <c r="K120" s="1"/>
      <c r="L120" s="1"/>
    </row>
    <row r="121" spans="10:12" hidden="1" x14ac:dyDescent="0.3">
      <c r="J121" s="1"/>
      <c r="K121" s="1"/>
      <c r="L121" s="1"/>
    </row>
    <row r="122" spans="10:12" hidden="1" x14ac:dyDescent="0.3">
      <c r="J122" s="1"/>
      <c r="K122" s="1"/>
      <c r="L122" s="1"/>
    </row>
    <row r="123" spans="10:12" hidden="1" x14ac:dyDescent="0.3">
      <c r="J123" s="1"/>
      <c r="K123" s="1"/>
      <c r="L123" s="1"/>
    </row>
    <row r="124" spans="10:12" hidden="1" x14ac:dyDescent="0.3">
      <c r="J124" s="1"/>
      <c r="K124" s="1"/>
      <c r="L124" s="1"/>
    </row>
    <row r="125" spans="10:12" hidden="1" x14ac:dyDescent="0.3">
      <c r="J125" s="1"/>
      <c r="K125" s="1"/>
      <c r="L125" s="1"/>
    </row>
    <row r="126" spans="10:12" hidden="1" x14ac:dyDescent="0.3">
      <c r="J126" s="1"/>
      <c r="K126" s="1"/>
      <c r="L126" s="1"/>
    </row>
    <row r="127" spans="10:12" hidden="1" x14ac:dyDescent="0.3">
      <c r="J127" s="1"/>
      <c r="K127" s="1"/>
      <c r="L127" s="1"/>
    </row>
    <row r="128" spans="10:12" hidden="1" x14ac:dyDescent="0.3">
      <c r="J128" s="1"/>
      <c r="K128" s="1"/>
      <c r="L128" s="1"/>
    </row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2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  <row r="380" hidden="1" x14ac:dyDescent="0.3"/>
    <row r="381" hidden="1" x14ac:dyDescent="0.3"/>
    <row r="382" hidden="1" x14ac:dyDescent="0.3"/>
    <row r="383" hidden="1" x14ac:dyDescent="0.3"/>
    <row r="384" hidden="1" x14ac:dyDescent="0.3"/>
    <row r="385" hidden="1" x14ac:dyDescent="0.3"/>
    <row r="386" hidden="1" x14ac:dyDescent="0.3"/>
    <row r="387" hidden="1" x14ac:dyDescent="0.3"/>
    <row r="388" hidden="1" x14ac:dyDescent="0.3"/>
    <row r="389" hidden="1" x14ac:dyDescent="0.3"/>
    <row r="390" hidden="1" x14ac:dyDescent="0.3"/>
    <row r="391" hidden="1" x14ac:dyDescent="0.3"/>
    <row r="392" hidden="1" x14ac:dyDescent="0.3"/>
    <row r="393" hidden="1" x14ac:dyDescent="0.3"/>
    <row r="394" hidden="1" x14ac:dyDescent="0.3"/>
    <row r="395" hidden="1" x14ac:dyDescent="0.3"/>
    <row r="396" hidden="1" x14ac:dyDescent="0.3"/>
    <row r="397" hidden="1" x14ac:dyDescent="0.3"/>
    <row r="398" hidden="1" x14ac:dyDescent="0.3"/>
    <row r="399" hidden="1" x14ac:dyDescent="0.3"/>
    <row r="400" hidden="1" x14ac:dyDescent="0.3"/>
    <row r="401" hidden="1" x14ac:dyDescent="0.3"/>
    <row r="402" hidden="1" x14ac:dyDescent="0.3"/>
    <row r="403" hidden="1" x14ac:dyDescent="0.3"/>
    <row r="404" hidden="1" x14ac:dyDescent="0.3"/>
    <row r="405" hidden="1" x14ac:dyDescent="0.3"/>
    <row r="406" hidden="1" x14ac:dyDescent="0.3"/>
    <row r="407" hidden="1" x14ac:dyDescent="0.3"/>
    <row r="408" hidden="1" x14ac:dyDescent="0.3"/>
    <row r="409" hidden="1" x14ac:dyDescent="0.3"/>
    <row r="410" hidden="1" x14ac:dyDescent="0.3"/>
    <row r="411" hidden="1" x14ac:dyDescent="0.3"/>
    <row r="412" hidden="1" x14ac:dyDescent="0.3"/>
    <row r="413" hidden="1" x14ac:dyDescent="0.3"/>
    <row r="414" hidden="1" x14ac:dyDescent="0.3"/>
    <row r="415" hidden="1" x14ac:dyDescent="0.3"/>
    <row r="416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  <row r="427" hidden="1" x14ac:dyDescent="0.3"/>
    <row r="428" hidden="1" x14ac:dyDescent="0.3"/>
    <row r="429" hidden="1" x14ac:dyDescent="0.3"/>
    <row r="430" hidden="1" x14ac:dyDescent="0.3"/>
    <row r="431" hidden="1" x14ac:dyDescent="0.3"/>
    <row r="432" hidden="1" x14ac:dyDescent="0.3"/>
    <row r="433" hidden="1" x14ac:dyDescent="0.3"/>
    <row r="434" hidden="1" x14ac:dyDescent="0.3"/>
    <row r="435" hidden="1" x14ac:dyDescent="0.3"/>
    <row r="436" hidden="1" x14ac:dyDescent="0.3"/>
    <row r="437" hidden="1" x14ac:dyDescent="0.3"/>
    <row r="438" hidden="1" x14ac:dyDescent="0.3"/>
    <row r="439" hidden="1" x14ac:dyDescent="0.3"/>
    <row r="440" hidden="1" x14ac:dyDescent="0.3"/>
    <row r="441" hidden="1" x14ac:dyDescent="0.3"/>
    <row r="442" hidden="1" x14ac:dyDescent="0.3"/>
    <row r="443" hidden="1" x14ac:dyDescent="0.3"/>
    <row r="444" hidden="1" x14ac:dyDescent="0.3"/>
    <row r="445" hidden="1" x14ac:dyDescent="0.3"/>
    <row r="446" hidden="1" x14ac:dyDescent="0.3"/>
    <row r="447" hidden="1" x14ac:dyDescent="0.3"/>
    <row r="448" hidden="1" x14ac:dyDescent="0.3"/>
    <row r="449" hidden="1" x14ac:dyDescent="0.3"/>
    <row r="450" hidden="1" x14ac:dyDescent="0.3"/>
    <row r="451" hidden="1" x14ac:dyDescent="0.3"/>
    <row r="452" hidden="1" x14ac:dyDescent="0.3"/>
    <row r="453" hidden="1" x14ac:dyDescent="0.3"/>
    <row r="454" hidden="1" x14ac:dyDescent="0.3"/>
    <row r="455" hidden="1" x14ac:dyDescent="0.3"/>
    <row r="456" hidden="1" x14ac:dyDescent="0.3"/>
    <row r="457" hidden="1" x14ac:dyDescent="0.3"/>
    <row r="458" hidden="1" x14ac:dyDescent="0.3"/>
    <row r="459" hidden="1" x14ac:dyDescent="0.3"/>
    <row r="460" hidden="1" x14ac:dyDescent="0.3"/>
    <row r="461" hidden="1" x14ac:dyDescent="0.3"/>
    <row r="462" hidden="1" x14ac:dyDescent="0.3"/>
    <row r="463" hidden="1" x14ac:dyDescent="0.3"/>
    <row r="464" hidden="1" x14ac:dyDescent="0.3"/>
    <row r="465" hidden="1" x14ac:dyDescent="0.3"/>
    <row r="466" hidden="1" x14ac:dyDescent="0.3"/>
    <row r="467" hidden="1" x14ac:dyDescent="0.3"/>
    <row r="468" hidden="1" x14ac:dyDescent="0.3"/>
    <row r="469" hidden="1" x14ac:dyDescent="0.3"/>
    <row r="470" hidden="1" x14ac:dyDescent="0.3"/>
    <row r="471" hidden="1" x14ac:dyDescent="0.3"/>
    <row r="472" hidden="1" x14ac:dyDescent="0.3"/>
    <row r="473" hidden="1" x14ac:dyDescent="0.3"/>
    <row r="474" hidden="1" x14ac:dyDescent="0.3"/>
    <row r="475" hidden="1" x14ac:dyDescent="0.3"/>
    <row r="476" hidden="1" x14ac:dyDescent="0.3"/>
    <row r="477" hidden="1" x14ac:dyDescent="0.3"/>
    <row r="478" hidden="1" x14ac:dyDescent="0.3"/>
    <row r="479" hidden="1" x14ac:dyDescent="0.3"/>
    <row r="480" hidden="1" x14ac:dyDescent="0.3"/>
    <row r="481" hidden="1" x14ac:dyDescent="0.3"/>
    <row r="482" hidden="1" x14ac:dyDescent="0.3"/>
    <row r="483" hidden="1" x14ac:dyDescent="0.3"/>
    <row r="484" hidden="1" x14ac:dyDescent="0.3"/>
    <row r="485" hidden="1" x14ac:dyDescent="0.3"/>
    <row r="486" hidden="1" x14ac:dyDescent="0.3"/>
    <row r="487" hidden="1" x14ac:dyDescent="0.3"/>
    <row r="488" hidden="1" x14ac:dyDescent="0.3"/>
    <row r="489" hidden="1" x14ac:dyDescent="0.3"/>
    <row r="490" hidden="1" x14ac:dyDescent="0.3"/>
    <row r="491" hidden="1" x14ac:dyDescent="0.3"/>
    <row r="492" hidden="1" x14ac:dyDescent="0.3"/>
    <row r="493" hidden="1" x14ac:dyDescent="0.3"/>
    <row r="494" hidden="1" x14ac:dyDescent="0.3"/>
    <row r="495" hidden="1" x14ac:dyDescent="0.3"/>
    <row r="496" hidden="1" x14ac:dyDescent="0.3"/>
    <row r="497" hidden="1" x14ac:dyDescent="0.3"/>
    <row r="498" hidden="1" x14ac:dyDescent="0.3"/>
    <row r="499" hidden="1" x14ac:dyDescent="0.3"/>
    <row r="500" hidden="1" x14ac:dyDescent="0.3"/>
    <row r="501" hidden="1" x14ac:dyDescent="0.3"/>
    <row r="502" hidden="1" x14ac:dyDescent="0.3"/>
    <row r="503" hidden="1" x14ac:dyDescent="0.3"/>
    <row r="504" hidden="1" x14ac:dyDescent="0.3"/>
    <row r="505" hidden="1" x14ac:dyDescent="0.3"/>
    <row r="506" hidden="1" x14ac:dyDescent="0.3"/>
    <row r="507" hidden="1" x14ac:dyDescent="0.3"/>
    <row r="508" hidden="1" x14ac:dyDescent="0.3"/>
    <row r="509" hidden="1" x14ac:dyDescent="0.3"/>
    <row r="510" hidden="1" x14ac:dyDescent="0.3"/>
    <row r="511" hidden="1" x14ac:dyDescent="0.3"/>
    <row r="51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  <row r="553" hidden="1" x14ac:dyDescent="0.3"/>
    <row r="554" hidden="1" x14ac:dyDescent="0.3"/>
    <row r="555" hidden="1" x14ac:dyDescent="0.3"/>
    <row r="556" hidden="1" x14ac:dyDescent="0.3"/>
    <row r="557" hidden="1" x14ac:dyDescent="0.3"/>
    <row r="558" hidden="1" x14ac:dyDescent="0.3"/>
    <row r="559" hidden="1" x14ac:dyDescent="0.3"/>
    <row r="560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2" hidden="1" x14ac:dyDescent="0.3"/>
    <row r="583" hidden="1" x14ac:dyDescent="0.3"/>
    <row r="584" hidden="1" x14ac:dyDescent="0.3"/>
    <row r="585" hidden="1" x14ac:dyDescent="0.3"/>
    <row r="586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2" hidden="1" x14ac:dyDescent="0.3"/>
    <row r="593" hidden="1" x14ac:dyDescent="0.3"/>
    <row r="594" hidden="1" x14ac:dyDescent="0.3"/>
    <row r="595" hidden="1" x14ac:dyDescent="0.3"/>
    <row r="596" hidden="1" x14ac:dyDescent="0.3"/>
    <row r="597" hidden="1" x14ac:dyDescent="0.3"/>
    <row r="598" hidden="1" x14ac:dyDescent="0.3"/>
    <row r="599" hidden="1" x14ac:dyDescent="0.3"/>
    <row r="600" hidden="1" x14ac:dyDescent="0.3"/>
    <row r="601" hidden="1" x14ac:dyDescent="0.3"/>
    <row r="602" hidden="1" x14ac:dyDescent="0.3"/>
    <row r="603" hidden="1" x14ac:dyDescent="0.3"/>
    <row r="604" hidden="1" x14ac:dyDescent="0.3"/>
    <row r="605" hidden="1" x14ac:dyDescent="0.3"/>
    <row r="606" hidden="1" x14ac:dyDescent="0.3"/>
    <row r="607" hidden="1" x14ac:dyDescent="0.3"/>
    <row r="608" hidden="1" x14ac:dyDescent="0.3"/>
    <row r="609" hidden="1" x14ac:dyDescent="0.3"/>
    <row r="610" hidden="1" x14ac:dyDescent="0.3"/>
    <row r="611" hidden="1" x14ac:dyDescent="0.3"/>
    <row r="612" hidden="1" x14ac:dyDescent="0.3"/>
    <row r="613" hidden="1" x14ac:dyDescent="0.3"/>
    <row r="614" hidden="1" x14ac:dyDescent="0.3"/>
    <row r="615" hidden="1" x14ac:dyDescent="0.3"/>
    <row r="616" hidden="1" x14ac:dyDescent="0.3"/>
    <row r="617" hidden="1" x14ac:dyDescent="0.3"/>
    <row r="618" hidden="1" x14ac:dyDescent="0.3"/>
    <row r="619" hidden="1" x14ac:dyDescent="0.3"/>
    <row r="620" hidden="1" x14ac:dyDescent="0.3"/>
    <row r="621" hidden="1" x14ac:dyDescent="0.3"/>
    <row r="622" hidden="1" x14ac:dyDescent="0.3"/>
    <row r="623" hidden="1" x14ac:dyDescent="0.3"/>
    <row r="624" hidden="1" x14ac:dyDescent="0.3"/>
    <row r="625" hidden="1" x14ac:dyDescent="0.3"/>
    <row r="626" hidden="1" x14ac:dyDescent="0.3"/>
    <row r="627" hidden="1" x14ac:dyDescent="0.3"/>
    <row r="628" hidden="1" x14ac:dyDescent="0.3"/>
    <row r="629" hidden="1" x14ac:dyDescent="0.3"/>
    <row r="630" hidden="1" x14ac:dyDescent="0.3"/>
    <row r="631" hidden="1" x14ac:dyDescent="0.3"/>
    <row r="632" hidden="1" x14ac:dyDescent="0.3"/>
    <row r="633" hidden="1" x14ac:dyDescent="0.3"/>
    <row r="634" hidden="1" x14ac:dyDescent="0.3"/>
    <row r="635" hidden="1" x14ac:dyDescent="0.3"/>
    <row r="636" hidden="1" x14ac:dyDescent="0.3"/>
    <row r="637" hidden="1" x14ac:dyDescent="0.3"/>
    <row r="638" hidden="1" x14ac:dyDescent="0.3"/>
    <row r="639" hidden="1" x14ac:dyDescent="0.3"/>
    <row r="640" hidden="1" x14ac:dyDescent="0.3"/>
    <row r="641" hidden="1" x14ac:dyDescent="0.3"/>
    <row r="642" hidden="1" x14ac:dyDescent="0.3"/>
    <row r="643" hidden="1" x14ac:dyDescent="0.3"/>
    <row r="644" hidden="1" x14ac:dyDescent="0.3"/>
    <row r="645" hidden="1" x14ac:dyDescent="0.3"/>
    <row r="646" hidden="1" x14ac:dyDescent="0.3"/>
    <row r="647" hidden="1" x14ac:dyDescent="0.3"/>
    <row r="648" hidden="1" x14ac:dyDescent="0.3"/>
    <row r="649" hidden="1" x14ac:dyDescent="0.3"/>
    <row r="650" hidden="1" x14ac:dyDescent="0.3"/>
    <row r="651" hidden="1" x14ac:dyDescent="0.3"/>
    <row r="652" hidden="1" x14ac:dyDescent="0.3"/>
    <row r="653" hidden="1" x14ac:dyDescent="0.3"/>
    <row r="654" hidden="1" x14ac:dyDescent="0.3"/>
    <row r="655" hidden="1" x14ac:dyDescent="0.3"/>
    <row r="656" hidden="1" x14ac:dyDescent="0.3"/>
    <row r="657" hidden="1" x14ac:dyDescent="0.3"/>
    <row r="658" hidden="1" x14ac:dyDescent="0.3"/>
    <row r="659" hidden="1" x14ac:dyDescent="0.3"/>
    <row r="660" hidden="1" x14ac:dyDescent="0.3"/>
    <row r="661" hidden="1" x14ac:dyDescent="0.3"/>
    <row r="662" hidden="1" x14ac:dyDescent="0.3"/>
    <row r="663" hidden="1" x14ac:dyDescent="0.3"/>
    <row r="664" hidden="1" x14ac:dyDescent="0.3"/>
    <row r="665" hidden="1" x14ac:dyDescent="0.3"/>
    <row r="666" hidden="1" x14ac:dyDescent="0.3"/>
    <row r="667" hidden="1" x14ac:dyDescent="0.3"/>
    <row r="668" hidden="1" x14ac:dyDescent="0.3"/>
    <row r="669" hidden="1" x14ac:dyDescent="0.3"/>
    <row r="670" hidden="1" x14ac:dyDescent="0.3"/>
    <row r="671" hidden="1" x14ac:dyDescent="0.3"/>
    <row r="672" hidden="1" x14ac:dyDescent="0.3"/>
    <row r="673" hidden="1" x14ac:dyDescent="0.3"/>
    <row r="674" hidden="1" x14ac:dyDescent="0.3"/>
    <row r="675" hidden="1" x14ac:dyDescent="0.3"/>
    <row r="676" hidden="1" x14ac:dyDescent="0.3"/>
    <row r="677" hidden="1" x14ac:dyDescent="0.3"/>
    <row r="678" hidden="1" x14ac:dyDescent="0.3"/>
    <row r="679" hidden="1" x14ac:dyDescent="0.3"/>
    <row r="680" hidden="1" x14ac:dyDescent="0.3"/>
    <row r="681" hidden="1" x14ac:dyDescent="0.3"/>
    <row r="682" hidden="1" x14ac:dyDescent="0.3"/>
    <row r="683" hidden="1" x14ac:dyDescent="0.3"/>
    <row r="684" hidden="1" x14ac:dyDescent="0.3"/>
    <row r="685" hidden="1" x14ac:dyDescent="0.3"/>
    <row r="686" hidden="1" x14ac:dyDescent="0.3"/>
    <row r="687" hidden="1" x14ac:dyDescent="0.3"/>
    <row r="688" hidden="1" x14ac:dyDescent="0.3"/>
    <row r="689" hidden="1" x14ac:dyDescent="0.3"/>
    <row r="690" hidden="1" x14ac:dyDescent="0.3"/>
    <row r="691" hidden="1" x14ac:dyDescent="0.3"/>
    <row r="692" hidden="1" x14ac:dyDescent="0.3"/>
    <row r="693" hidden="1" x14ac:dyDescent="0.3"/>
    <row r="694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5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1" hidden="1" x14ac:dyDescent="0.3"/>
    <row r="712" hidden="1" x14ac:dyDescent="0.3"/>
    <row r="713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hidden="1" x14ac:dyDescent="0.3"/>
    <row r="722" hidden="1" x14ac:dyDescent="0.3"/>
    <row r="723" hidden="1" x14ac:dyDescent="0.3"/>
    <row r="724" hidden="1" x14ac:dyDescent="0.3"/>
    <row r="725" hidden="1" x14ac:dyDescent="0.3"/>
    <row r="726" hidden="1" x14ac:dyDescent="0.3"/>
    <row r="727" hidden="1" x14ac:dyDescent="0.3"/>
    <row r="728" hidden="1" x14ac:dyDescent="0.3"/>
    <row r="729" hidden="1" x14ac:dyDescent="0.3"/>
    <row r="730" hidden="1" x14ac:dyDescent="0.3"/>
    <row r="731" hidden="1" x14ac:dyDescent="0.3"/>
    <row r="732" hidden="1" x14ac:dyDescent="0.3"/>
    <row r="733" hidden="1" x14ac:dyDescent="0.3"/>
    <row r="734" hidden="1" x14ac:dyDescent="0.3"/>
    <row r="735" hidden="1" x14ac:dyDescent="0.3"/>
    <row r="736" hidden="1" x14ac:dyDescent="0.3"/>
    <row r="737" hidden="1" x14ac:dyDescent="0.3"/>
    <row r="738" hidden="1" x14ac:dyDescent="0.3"/>
    <row r="739" hidden="1" x14ac:dyDescent="0.3"/>
    <row r="740" hidden="1" x14ac:dyDescent="0.3"/>
    <row r="741" hidden="1" x14ac:dyDescent="0.3"/>
    <row r="742" hidden="1" x14ac:dyDescent="0.3"/>
    <row r="743" hidden="1" x14ac:dyDescent="0.3"/>
    <row r="744" hidden="1" x14ac:dyDescent="0.3"/>
    <row r="745" hidden="1" x14ac:dyDescent="0.3"/>
    <row r="746" hidden="1" x14ac:dyDescent="0.3"/>
    <row r="747" hidden="1" x14ac:dyDescent="0.3"/>
    <row r="748" hidden="1" x14ac:dyDescent="0.3"/>
    <row r="749" hidden="1" x14ac:dyDescent="0.3"/>
    <row r="750" hidden="1" x14ac:dyDescent="0.3"/>
    <row r="751" hidden="1" x14ac:dyDescent="0.3"/>
    <row r="752" hidden="1" x14ac:dyDescent="0.3"/>
    <row r="753" hidden="1" x14ac:dyDescent="0.3"/>
    <row r="754" hidden="1" x14ac:dyDescent="0.3"/>
    <row r="755" hidden="1" x14ac:dyDescent="0.3"/>
    <row r="756" hidden="1" x14ac:dyDescent="0.3"/>
    <row r="757" hidden="1" x14ac:dyDescent="0.3"/>
    <row r="758" hidden="1" x14ac:dyDescent="0.3"/>
    <row r="759" hidden="1" x14ac:dyDescent="0.3"/>
    <row r="760" hidden="1" x14ac:dyDescent="0.3"/>
    <row r="761" hidden="1" x14ac:dyDescent="0.3"/>
    <row r="762" hidden="1" x14ac:dyDescent="0.3"/>
    <row r="763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2" hidden="1" x14ac:dyDescent="0.3"/>
    <row r="773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79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5" hidden="1" x14ac:dyDescent="0.3"/>
    <row r="786" hidden="1" x14ac:dyDescent="0.3"/>
    <row r="787" hidden="1" x14ac:dyDescent="0.3"/>
    <row r="788" hidden="1" x14ac:dyDescent="0.3"/>
    <row r="789" hidden="1" x14ac:dyDescent="0.3"/>
    <row r="790" hidden="1" x14ac:dyDescent="0.3"/>
    <row r="791" hidden="1" x14ac:dyDescent="0.3"/>
    <row r="792" hidden="1" x14ac:dyDescent="0.3"/>
    <row r="793" hidden="1" x14ac:dyDescent="0.3"/>
    <row r="794" hidden="1" x14ac:dyDescent="0.3"/>
    <row r="795" hidden="1" x14ac:dyDescent="0.3"/>
    <row r="796" hidden="1" x14ac:dyDescent="0.3"/>
    <row r="797" hidden="1" x14ac:dyDescent="0.3"/>
    <row r="798" hidden="1" x14ac:dyDescent="0.3"/>
    <row r="799" hidden="1" x14ac:dyDescent="0.3"/>
    <row r="800" hidden="1" x14ac:dyDescent="0.3"/>
    <row r="801" hidden="1" x14ac:dyDescent="0.3"/>
    <row r="802" hidden="1" x14ac:dyDescent="0.3"/>
    <row r="803" hidden="1" x14ac:dyDescent="0.3"/>
    <row r="804" hidden="1" x14ac:dyDescent="0.3"/>
    <row r="805" hidden="1" x14ac:dyDescent="0.3"/>
    <row r="806" hidden="1" x14ac:dyDescent="0.3"/>
    <row r="807" hidden="1" x14ac:dyDescent="0.3"/>
    <row r="808" hidden="1" x14ac:dyDescent="0.3"/>
    <row r="809" hidden="1" x14ac:dyDescent="0.3"/>
    <row r="810" hidden="1" x14ac:dyDescent="0.3"/>
    <row r="811" hidden="1" x14ac:dyDescent="0.3"/>
    <row r="812" hidden="1" x14ac:dyDescent="0.3"/>
    <row r="813" hidden="1" x14ac:dyDescent="0.3"/>
    <row r="814" hidden="1" x14ac:dyDescent="0.3"/>
    <row r="815" hidden="1" x14ac:dyDescent="0.3"/>
    <row r="816" hidden="1" x14ac:dyDescent="0.3"/>
    <row r="817" hidden="1" x14ac:dyDescent="0.3"/>
    <row r="818" hidden="1" x14ac:dyDescent="0.3"/>
    <row r="819" hidden="1" x14ac:dyDescent="0.3"/>
    <row r="820" hidden="1" x14ac:dyDescent="0.3"/>
    <row r="821" hidden="1" x14ac:dyDescent="0.3"/>
    <row r="822" hidden="1" x14ac:dyDescent="0.3"/>
    <row r="823" hidden="1" x14ac:dyDescent="0.3"/>
    <row r="824" hidden="1" x14ac:dyDescent="0.3"/>
    <row r="825" hidden="1" x14ac:dyDescent="0.3"/>
    <row r="826" hidden="1" x14ac:dyDescent="0.3"/>
    <row r="827" hidden="1" x14ac:dyDescent="0.3"/>
    <row r="828" hidden="1" x14ac:dyDescent="0.3"/>
    <row r="829" hidden="1" x14ac:dyDescent="0.3"/>
    <row r="830" hidden="1" x14ac:dyDescent="0.3"/>
    <row r="831" hidden="1" x14ac:dyDescent="0.3"/>
    <row r="832" hidden="1" x14ac:dyDescent="0.3"/>
    <row r="833" hidden="1" x14ac:dyDescent="0.3"/>
    <row r="834" hidden="1" x14ac:dyDescent="0.3"/>
    <row r="835" hidden="1" x14ac:dyDescent="0.3"/>
    <row r="836" hidden="1" x14ac:dyDescent="0.3"/>
    <row r="837" hidden="1" x14ac:dyDescent="0.3"/>
    <row r="838" hidden="1" x14ac:dyDescent="0.3"/>
    <row r="839" hidden="1" x14ac:dyDescent="0.3"/>
    <row r="840" hidden="1" x14ac:dyDescent="0.3"/>
    <row r="841" hidden="1" x14ac:dyDescent="0.3"/>
    <row r="842" hidden="1" x14ac:dyDescent="0.3"/>
    <row r="843" hidden="1" x14ac:dyDescent="0.3"/>
    <row r="844" hidden="1" x14ac:dyDescent="0.3"/>
    <row r="845" hidden="1" x14ac:dyDescent="0.3"/>
    <row r="846" hidden="1" x14ac:dyDescent="0.3"/>
    <row r="847" hidden="1" x14ac:dyDescent="0.3"/>
    <row r="848" hidden="1" x14ac:dyDescent="0.3"/>
    <row r="849" hidden="1" x14ac:dyDescent="0.3"/>
    <row r="850" hidden="1" x14ac:dyDescent="0.3"/>
    <row r="851" hidden="1" x14ac:dyDescent="0.3"/>
    <row r="852" hidden="1" x14ac:dyDescent="0.3"/>
    <row r="853" hidden="1" x14ac:dyDescent="0.3"/>
    <row r="854" hidden="1" x14ac:dyDescent="0.3"/>
    <row r="855" hidden="1" x14ac:dyDescent="0.3"/>
    <row r="856" hidden="1" x14ac:dyDescent="0.3"/>
    <row r="857" hidden="1" x14ac:dyDescent="0.3"/>
    <row r="858" hidden="1" x14ac:dyDescent="0.3"/>
    <row r="859" hidden="1" x14ac:dyDescent="0.3"/>
    <row r="860" hidden="1" x14ac:dyDescent="0.3"/>
    <row r="861" hidden="1" x14ac:dyDescent="0.3"/>
    <row r="862" hidden="1" x14ac:dyDescent="0.3"/>
    <row r="863" hidden="1" x14ac:dyDescent="0.3"/>
    <row r="864" hidden="1" x14ac:dyDescent="0.3"/>
    <row r="865" hidden="1" x14ac:dyDescent="0.3"/>
    <row r="866" hidden="1" x14ac:dyDescent="0.3"/>
    <row r="867" hidden="1" x14ac:dyDescent="0.3"/>
    <row r="868" hidden="1" x14ac:dyDescent="0.3"/>
    <row r="869" hidden="1" x14ac:dyDescent="0.3"/>
    <row r="870" hidden="1" x14ac:dyDescent="0.3"/>
    <row r="871" hidden="1" x14ac:dyDescent="0.3"/>
    <row r="872" hidden="1" x14ac:dyDescent="0.3"/>
    <row r="873" hidden="1" x14ac:dyDescent="0.3"/>
    <row r="874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3" hidden="1" x14ac:dyDescent="0.3"/>
    <row r="884" hidden="1" x14ac:dyDescent="0.3"/>
    <row r="885" hidden="1" x14ac:dyDescent="0.3"/>
    <row r="886" hidden="1" x14ac:dyDescent="0.3"/>
    <row r="887" hidden="1" x14ac:dyDescent="0.3"/>
    <row r="888" hidden="1" x14ac:dyDescent="0.3"/>
    <row r="889" hidden="1" x14ac:dyDescent="0.3"/>
    <row r="890" hidden="1" x14ac:dyDescent="0.3"/>
    <row r="891" hidden="1" x14ac:dyDescent="0.3"/>
    <row r="892" hidden="1" x14ac:dyDescent="0.3"/>
    <row r="893" hidden="1" x14ac:dyDescent="0.3"/>
    <row r="894" hidden="1" x14ac:dyDescent="0.3"/>
    <row r="895" hidden="1" x14ac:dyDescent="0.3"/>
    <row r="896" hidden="1" x14ac:dyDescent="0.3"/>
    <row r="897" hidden="1" x14ac:dyDescent="0.3"/>
    <row r="898" hidden="1" x14ac:dyDescent="0.3"/>
    <row r="899" hidden="1" x14ac:dyDescent="0.3"/>
    <row r="900" hidden="1" x14ac:dyDescent="0.3"/>
    <row r="901" hidden="1" x14ac:dyDescent="0.3"/>
    <row r="902" hidden="1" x14ac:dyDescent="0.3"/>
    <row r="903" hidden="1" x14ac:dyDescent="0.3"/>
    <row r="904" hidden="1" x14ac:dyDescent="0.3"/>
    <row r="905" hidden="1" x14ac:dyDescent="0.3"/>
    <row r="906" hidden="1" x14ac:dyDescent="0.3"/>
    <row r="907" hidden="1" x14ac:dyDescent="0.3"/>
    <row r="908" hidden="1" x14ac:dyDescent="0.3"/>
    <row r="909" hidden="1" x14ac:dyDescent="0.3"/>
    <row r="910" hidden="1" x14ac:dyDescent="0.3"/>
    <row r="911" hidden="1" x14ac:dyDescent="0.3"/>
    <row r="912" hidden="1" x14ac:dyDescent="0.3"/>
    <row r="913" hidden="1" x14ac:dyDescent="0.3"/>
    <row r="914" hidden="1" x14ac:dyDescent="0.3"/>
    <row r="915" hidden="1" x14ac:dyDescent="0.3"/>
    <row r="916" hidden="1" x14ac:dyDescent="0.3"/>
    <row r="917" hidden="1" x14ac:dyDescent="0.3"/>
    <row r="918" hidden="1" x14ac:dyDescent="0.3"/>
    <row r="919" hidden="1" x14ac:dyDescent="0.3"/>
    <row r="920" hidden="1" x14ac:dyDescent="0.3"/>
    <row r="921" hidden="1" x14ac:dyDescent="0.3"/>
    <row r="922" hidden="1" x14ac:dyDescent="0.3"/>
    <row r="923" hidden="1" x14ac:dyDescent="0.3"/>
    <row r="924" hidden="1" x14ac:dyDescent="0.3"/>
    <row r="925" hidden="1" x14ac:dyDescent="0.3"/>
    <row r="926" hidden="1" x14ac:dyDescent="0.3"/>
    <row r="927" hidden="1" x14ac:dyDescent="0.3"/>
    <row r="928" hidden="1" x14ac:dyDescent="0.3"/>
    <row r="929" hidden="1" x14ac:dyDescent="0.3"/>
    <row r="930" hidden="1" x14ac:dyDescent="0.3"/>
    <row r="931" hidden="1" x14ac:dyDescent="0.3"/>
    <row r="932" hidden="1" x14ac:dyDescent="0.3"/>
    <row r="933" hidden="1" x14ac:dyDescent="0.3"/>
    <row r="934" hidden="1" x14ac:dyDescent="0.3"/>
    <row r="935" hidden="1" x14ac:dyDescent="0.3"/>
    <row r="936" hidden="1" x14ac:dyDescent="0.3"/>
    <row r="937" hidden="1" x14ac:dyDescent="0.3"/>
    <row r="938" hidden="1" x14ac:dyDescent="0.3"/>
    <row r="939" hidden="1" x14ac:dyDescent="0.3"/>
    <row r="940" hidden="1" x14ac:dyDescent="0.3"/>
    <row r="941" hidden="1" x14ac:dyDescent="0.3"/>
    <row r="942" hidden="1" x14ac:dyDescent="0.3"/>
    <row r="943" hidden="1" x14ac:dyDescent="0.3"/>
    <row r="944" hidden="1" x14ac:dyDescent="0.3"/>
    <row r="945" hidden="1" x14ac:dyDescent="0.3"/>
    <row r="946" hidden="1" x14ac:dyDescent="0.3"/>
    <row r="947" hidden="1" x14ac:dyDescent="0.3"/>
    <row r="948" hidden="1" x14ac:dyDescent="0.3"/>
    <row r="949" hidden="1" x14ac:dyDescent="0.3"/>
    <row r="950" hidden="1" x14ac:dyDescent="0.3"/>
    <row r="951" hidden="1" x14ac:dyDescent="0.3"/>
    <row r="952" hidden="1" x14ac:dyDescent="0.3"/>
    <row r="953" hidden="1" x14ac:dyDescent="0.3"/>
    <row r="954" hidden="1" x14ac:dyDescent="0.3"/>
    <row r="955" hidden="1" x14ac:dyDescent="0.3"/>
    <row r="956" hidden="1" x14ac:dyDescent="0.3"/>
    <row r="957" hidden="1" x14ac:dyDescent="0.3"/>
    <row r="958" hidden="1" x14ac:dyDescent="0.3"/>
    <row r="959" hidden="1" x14ac:dyDescent="0.3"/>
    <row r="960" hidden="1" x14ac:dyDescent="0.3"/>
    <row r="961" hidden="1" x14ac:dyDescent="0.3"/>
    <row r="962" hidden="1" x14ac:dyDescent="0.3"/>
    <row r="963" hidden="1" x14ac:dyDescent="0.3"/>
    <row r="964" hidden="1" x14ac:dyDescent="0.3"/>
    <row r="965" hidden="1" x14ac:dyDescent="0.3"/>
    <row r="966" hidden="1" x14ac:dyDescent="0.3"/>
    <row r="967" hidden="1" x14ac:dyDescent="0.3"/>
    <row r="968" hidden="1" x14ac:dyDescent="0.3"/>
    <row r="969" hidden="1" x14ac:dyDescent="0.3"/>
    <row r="970" hidden="1" x14ac:dyDescent="0.3"/>
    <row r="971" hidden="1" x14ac:dyDescent="0.3"/>
    <row r="972" hidden="1" x14ac:dyDescent="0.3"/>
    <row r="973" hidden="1" x14ac:dyDescent="0.3"/>
    <row r="974" hidden="1" x14ac:dyDescent="0.3"/>
    <row r="975" hidden="1" x14ac:dyDescent="0.3"/>
    <row r="976" hidden="1" x14ac:dyDescent="0.3"/>
    <row r="977" hidden="1" x14ac:dyDescent="0.3"/>
    <row r="978" hidden="1" x14ac:dyDescent="0.3"/>
    <row r="979" hidden="1" x14ac:dyDescent="0.3"/>
    <row r="980" hidden="1" x14ac:dyDescent="0.3"/>
    <row r="981" hidden="1" x14ac:dyDescent="0.3"/>
    <row r="982" hidden="1" x14ac:dyDescent="0.3"/>
    <row r="983" hidden="1" x14ac:dyDescent="0.3"/>
    <row r="984" hidden="1" x14ac:dyDescent="0.3"/>
    <row r="985" hidden="1" x14ac:dyDescent="0.3"/>
    <row r="986" hidden="1" x14ac:dyDescent="0.3"/>
    <row r="987" hidden="1" x14ac:dyDescent="0.3"/>
    <row r="988" hidden="1" x14ac:dyDescent="0.3"/>
    <row r="989" hidden="1" x14ac:dyDescent="0.3"/>
    <row r="990" hidden="1" x14ac:dyDescent="0.3"/>
    <row r="991" hidden="1" x14ac:dyDescent="0.3"/>
    <row r="992" hidden="1" x14ac:dyDescent="0.3"/>
    <row r="993" hidden="1" x14ac:dyDescent="0.3"/>
    <row r="994" hidden="1" x14ac:dyDescent="0.3"/>
    <row r="995" hidden="1" x14ac:dyDescent="0.3"/>
    <row r="996" hidden="1" x14ac:dyDescent="0.3"/>
    <row r="997" hidden="1" x14ac:dyDescent="0.3"/>
    <row r="998" hidden="1" x14ac:dyDescent="0.3"/>
    <row r="999" hidden="1" x14ac:dyDescent="0.3"/>
    <row r="1000" hidden="1" x14ac:dyDescent="0.3"/>
    <row r="1001" hidden="1" x14ac:dyDescent="0.3"/>
    <row r="1002" hidden="1" x14ac:dyDescent="0.3"/>
    <row r="1003" hidden="1" x14ac:dyDescent="0.3"/>
    <row r="1004" hidden="1" x14ac:dyDescent="0.3"/>
    <row r="1005" hidden="1" x14ac:dyDescent="0.3"/>
    <row r="1006" hidden="1" x14ac:dyDescent="0.3"/>
    <row r="1007" hidden="1" x14ac:dyDescent="0.3"/>
    <row r="1008" hidden="1" x14ac:dyDescent="0.3"/>
    <row r="1009" hidden="1" x14ac:dyDescent="0.3"/>
    <row r="1010" hidden="1" x14ac:dyDescent="0.3"/>
    <row r="1011" hidden="1" x14ac:dyDescent="0.3"/>
    <row r="1012" hidden="1" x14ac:dyDescent="0.3"/>
    <row r="1013" hidden="1" x14ac:dyDescent="0.3"/>
    <row r="1014" hidden="1" x14ac:dyDescent="0.3"/>
    <row r="1015" hidden="1" x14ac:dyDescent="0.3"/>
    <row r="1016" hidden="1" x14ac:dyDescent="0.3"/>
    <row r="1017" hidden="1" x14ac:dyDescent="0.3"/>
    <row r="1018" hidden="1" x14ac:dyDescent="0.3"/>
    <row r="1019" hidden="1" x14ac:dyDescent="0.3"/>
    <row r="1020" hidden="1" x14ac:dyDescent="0.3"/>
    <row r="1021" hidden="1" x14ac:dyDescent="0.3"/>
    <row r="1022" hidden="1" x14ac:dyDescent="0.3"/>
    <row r="1023" hidden="1" x14ac:dyDescent="0.3"/>
    <row r="1024" hidden="1" x14ac:dyDescent="0.3"/>
    <row r="1025" hidden="1" x14ac:dyDescent="0.3"/>
    <row r="1026" hidden="1" x14ac:dyDescent="0.3"/>
    <row r="1027" hidden="1" x14ac:dyDescent="0.3"/>
    <row r="1028" hidden="1" x14ac:dyDescent="0.3"/>
    <row r="1029" hidden="1" x14ac:dyDescent="0.3"/>
    <row r="1030" hidden="1" x14ac:dyDescent="0.3"/>
    <row r="1031" hidden="1" x14ac:dyDescent="0.3"/>
    <row r="1032" hidden="1" x14ac:dyDescent="0.3"/>
    <row r="1033" hidden="1" x14ac:dyDescent="0.3"/>
    <row r="1034" hidden="1" x14ac:dyDescent="0.3"/>
    <row r="1035" hidden="1" x14ac:dyDescent="0.3"/>
    <row r="1036" hidden="1" x14ac:dyDescent="0.3"/>
    <row r="1037" hidden="1" x14ac:dyDescent="0.3"/>
    <row r="1038" hidden="1" x14ac:dyDescent="0.3"/>
    <row r="1039" hidden="1" x14ac:dyDescent="0.3"/>
    <row r="1040" hidden="1" x14ac:dyDescent="0.3"/>
    <row r="1041" hidden="1" x14ac:dyDescent="0.3"/>
    <row r="1042" hidden="1" x14ac:dyDescent="0.3"/>
    <row r="1043" hidden="1" x14ac:dyDescent="0.3"/>
    <row r="1044" hidden="1" x14ac:dyDescent="0.3"/>
    <row r="1045" hidden="1" x14ac:dyDescent="0.3"/>
    <row r="1046" hidden="1" x14ac:dyDescent="0.3"/>
    <row r="1047" hidden="1" x14ac:dyDescent="0.3"/>
    <row r="1048" hidden="1" x14ac:dyDescent="0.3"/>
    <row r="1049" hidden="1" x14ac:dyDescent="0.3"/>
    <row r="1050" hidden="1" x14ac:dyDescent="0.3"/>
    <row r="1051" hidden="1" x14ac:dyDescent="0.3"/>
    <row r="1052" hidden="1" x14ac:dyDescent="0.3"/>
    <row r="1053" hidden="1" x14ac:dyDescent="0.3"/>
    <row r="1054" hidden="1" x14ac:dyDescent="0.3"/>
    <row r="1055" hidden="1" x14ac:dyDescent="0.3"/>
    <row r="1056" hidden="1" x14ac:dyDescent="0.3"/>
    <row r="1057" hidden="1" x14ac:dyDescent="0.3"/>
    <row r="1058" hidden="1" x14ac:dyDescent="0.3"/>
    <row r="1059" hidden="1" x14ac:dyDescent="0.3"/>
    <row r="1060" hidden="1" x14ac:dyDescent="0.3"/>
    <row r="1061" hidden="1" x14ac:dyDescent="0.3"/>
    <row r="1062" hidden="1" x14ac:dyDescent="0.3"/>
    <row r="1063" hidden="1" x14ac:dyDescent="0.3"/>
    <row r="1064" hidden="1" x14ac:dyDescent="0.3"/>
    <row r="1065" hidden="1" x14ac:dyDescent="0.3"/>
    <row r="1066" hidden="1" x14ac:dyDescent="0.3"/>
    <row r="1067" hidden="1" x14ac:dyDescent="0.3"/>
    <row r="1068" hidden="1" x14ac:dyDescent="0.3"/>
    <row r="1069" hidden="1" x14ac:dyDescent="0.3"/>
    <row r="1070" hidden="1" x14ac:dyDescent="0.3"/>
    <row r="1071" hidden="1" x14ac:dyDescent="0.3"/>
    <row r="1072" hidden="1" x14ac:dyDescent="0.3"/>
    <row r="1073" hidden="1" x14ac:dyDescent="0.3"/>
    <row r="1074" hidden="1" x14ac:dyDescent="0.3"/>
    <row r="1075" hidden="1" x14ac:dyDescent="0.3"/>
    <row r="1076" hidden="1" x14ac:dyDescent="0.3"/>
    <row r="1077" hidden="1" x14ac:dyDescent="0.3"/>
    <row r="1078" hidden="1" x14ac:dyDescent="0.3"/>
    <row r="1079" hidden="1" x14ac:dyDescent="0.3"/>
    <row r="1080" hidden="1" x14ac:dyDescent="0.3"/>
    <row r="1081" hidden="1" x14ac:dyDescent="0.3"/>
    <row r="1082" hidden="1" x14ac:dyDescent="0.3"/>
    <row r="1083" hidden="1" x14ac:dyDescent="0.3"/>
    <row r="1084" hidden="1" x14ac:dyDescent="0.3"/>
    <row r="1085" hidden="1" x14ac:dyDescent="0.3"/>
    <row r="1086" hidden="1" x14ac:dyDescent="0.3"/>
    <row r="1087" hidden="1" x14ac:dyDescent="0.3"/>
    <row r="1088" hidden="1" x14ac:dyDescent="0.3"/>
    <row r="1089" hidden="1" x14ac:dyDescent="0.3"/>
    <row r="1090" hidden="1" x14ac:dyDescent="0.3"/>
    <row r="1091" hidden="1" x14ac:dyDescent="0.3"/>
    <row r="1092" hidden="1" x14ac:dyDescent="0.3"/>
    <row r="1093" hidden="1" x14ac:dyDescent="0.3"/>
    <row r="1094" hidden="1" x14ac:dyDescent="0.3"/>
    <row r="1095" hidden="1" x14ac:dyDescent="0.3"/>
    <row r="1096" hidden="1" x14ac:dyDescent="0.3"/>
    <row r="1097" hidden="1" x14ac:dyDescent="0.3"/>
    <row r="1098" hidden="1" x14ac:dyDescent="0.3"/>
    <row r="1099" hidden="1" x14ac:dyDescent="0.3"/>
    <row r="1100" hidden="1" x14ac:dyDescent="0.3"/>
    <row r="1101" hidden="1" x14ac:dyDescent="0.3"/>
    <row r="1102" hidden="1" x14ac:dyDescent="0.3"/>
    <row r="1103" hidden="1" x14ac:dyDescent="0.3"/>
    <row r="1104" hidden="1" x14ac:dyDescent="0.3"/>
    <row r="1105" hidden="1" x14ac:dyDescent="0.3"/>
    <row r="1106" hidden="1" x14ac:dyDescent="0.3"/>
    <row r="1107" hidden="1" x14ac:dyDescent="0.3"/>
    <row r="1108" hidden="1" x14ac:dyDescent="0.3"/>
    <row r="1109" hidden="1" x14ac:dyDescent="0.3"/>
    <row r="1110" hidden="1" x14ac:dyDescent="0.3"/>
    <row r="1111" hidden="1" x14ac:dyDescent="0.3"/>
    <row r="1112" hidden="1" x14ac:dyDescent="0.3"/>
    <row r="1113" hidden="1" x14ac:dyDescent="0.3"/>
    <row r="1114" hidden="1" x14ac:dyDescent="0.3"/>
    <row r="1115" hidden="1" x14ac:dyDescent="0.3"/>
    <row r="1116" hidden="1" x14ac:dyDescent="0.3"/>
    <row r="1117" hidden="1" x14ac:dyDescent="0.3"/>
    <row r="1118" hidden="1" x14ac:dyDescent="0.3"/>
    <row r="1119" hidden="1" x14ac:dyDescent="0.3"/>
    <row r="1120" hidden="1" x14ac:dyDescent="0.3"/>
    <row r="1121" hidden="1" x14ac:dyDescent="0.3"/>
    <row r="1122" hidden="1" x14ac:dyDescent="0.3"/>
    <row r="1123" hidden="1" x14ac:dyDescent="0.3"/>
    <row r="1124" hidden="1" x14ac:dyDescent="0.3"/>
    <row r="1125" hidden="1" x14ac:dyDescent="0.3"/>
    <row r="1126" hidden="1" x14ac:dyDescent="0.3"/>
    <row r="1127" hidden="1" x14ac:dyDescent="0.3"/>
    <row r="1128" hidden="1" x14ac:dyDescent="0.3"/>
    <row r="1129" hidden="1" x14ac:dyDescent="0.3"/>
    <row r="1130" hidden="1" x14ac:dyDescent="0.3"/>
    <row r="1131" hidden="1" x14ac:dyDescent="0.3"/>
    <row r="1132" hidden="1" x14ac:dyDescent="0.3"/>
    <row r="1133" hidden="1" x14ac:dyDescent="0.3"/>
    <row r="1134" hidden="1" x14ac:dyDescent="0.3"/>
    <row r="1135" hidden="1" x14ac:dyDescent="0.3"/>
    <row r="1136" hidden="1" x14ac:dyDescent="0.3"/>
    <row r="1137" hidden="1" x14ac:dyDescent="0.3"/>
    <row r="1138" hidden="1" x14ac:dyDescent="0.3"/>
    <row r="1139" hidden="1" x14ac:dyDescent="0.3"/>
    <row r="1140" hidden="1" x14ac:dyDescent="0.3"/>
    <row r="1141" hidden="1" x14ac:dyDescent="0.3"/>
    <row r="1142" hidden="1" x14ac:dyDescent="0.3"/>
    <row r="1143" hidden="1" x14ac:dyDescent="0.3"/>
    <row r="1144" hidden="1" x14ac:dyDescent="0.3"/>
    <row r="1145" hidden="1" x14ac:dyDescent="0.3"/>
    <row r="1146" hidden="1" x14ac:dyDescent="0.3"/>
    <row r="1147" hidden="1" x14ac:dyDescent="0.3"/>
    <row r="1148" hidden="1" x14ac:dyDescent="0.3"/>
    <row r="1149" hidden="1" x14ac:dyDescent="0.3"/>
    <row r="1150" hidden="1" x14ac:dyDescent="0.3"/>
    <row r="1151" hidden="1" x14ac:dyDescent="0.3"/>
    <row r="1152" hidden="1" x14ac:dyDescent="0.3"/>
    <row r="1153" hidden="1" x14ac:dyDescent="0.3"/>
    <row r="1154" hidden="1" x14ac:dyDescent="0.3"/>
    <row r="1155" hidden="1" x14ac:dyDescent="0.3"/>
    <row r="1156" hidden="1" x14ac:dyDescent="0.3"/>
    <row r="1157" hidden="1" x14ac:dyDescent="0.3"/>
    <row r="1158" hidden="1" x14ac:dyDescent="0.3"/>
    <row r="1159" hidden="1" x14ac:dyDescent="0.3"/>
    <row r="1160" hidden="1" x14ac:dyDescent="0.3"/>
    <row r="1161" hidden="1" x14ac:dyDescent="0.3"/>
    <row r="1162" hidden="1" x14ac:dyDescent="0.3"/>
    <row r="1163" hidden="1" x14ac:dyDescent="0.3"/>
    <row r="1164" hidden="1" x14ac:dyDescent="0.3"/>
    <row r="1165" hidden="1" x14ac:dyDescent="0.3"/>
    <row r="1166" hidden="1" x14ac:dyDescent="0.3"/>
    <row r="1167" hidden="1" x14ac:dyDescent="0.3"/>
    <row r="1168" hidden="1" x14ac:dyDescent="0.3"/>
    <row r="1169" hidden="1" x14ac:dyDescent="0.3"/>
    <row r="1170" hidden="1" x14ac:dyDescent="0.3"/>
    <row r="1171" hidden="1" x14ac:dyDescent="0.3"/>
    <row r="1172" hidden="1" x14ac:dyDescent="0.3"/>
    <row r="1173" hidden="1" x14ac:dyDescent="0.3"/>
    <row r="1174" hidden="1" x14ac:dyDescent="0.3"/>
    <row r="1175" hidden="1" x14ac:dyDescent="0.3"/>
    <row r="1176" hidden="1" x14ac:dyDescent="0.3"/>
    <row r="1177" hidden="1" x14ac:dyDescent="0.3"/>
    <row r="1178" hidden="1" x14ac:dyDescent="0.3"/>
    <row r="1179" hidden="1" x14ac:dyDescent="0.3"/>
    <row r="1180" hidden="1" x14ac:dyDescent="0.3"/>
    <row r="1181" hidden="1" x14ac:dyDescent="0.3"/>
    <row r="1182" hidden="1" x14ac:dyDescent="0.3"/>
    <row r="1183" hidden="1" x14ac:dyDescent="0.3"/>
    <row r="1184" hidden="1" x14ac:dyDescent="0.3"/>
    <row r="1185" hidden="1" x14ac:dyDescent="0.3"/>
    <row r="1186" hidden="1" x14ac:dyDescent="0.3"/>
    <row r="1187" hidden="1" x14ac:dyDescent="0.3"/>
    <row r="1188" hidden="1" x14ac:dyDescent="0.3"/>
    <row r="1189" hidden="1" x14ac:dyDescent="0.3"/>
    <row r="1190" hidden="1" x14ac:dyDescent="0.3"/>
    <row r="1191" hidden="1" x14ac:dyDescent="0.3"/>
    <row r="1192" hidden="1" x14ac:dyDescent="0.3"/>
    <row r="1193" hidden="1" x14ac:dyDescent="0.3"/>
    <row r="1194" hidden="1" x14ac:dyDescent="0.3"/>
    <row r="1195" hidden="1" x14ac:dyDescent="0.3"/>
    <row r="1196" hidden="1" x14ac:dyDescent="0.3"/>
    <row r="1197" hidden="1" x14ac:dyDescent="0.3"/>
    <row r="1198" hidden="1" x14ac:dyDescent="0.3"/>
    <row r="1199" hidden="1" x14ac:dyDescent="0.3"/>
    <row r="1200" hidden="1" x14ac:dyDescent="0.3"/>
    <row r="1201" hidden="1" x14ac:dyDescent="0.3"/>
    <row r="1202" hidden="1" x14ac:dyDescent="0.3"/>
    <row r="1203" hidden="1" x14ac:dyDescent="0.3"/>
    <row r="1204" hidden="1" x14ac:dyDescent="0.3"/>
    <row r="1205" hidden="1" x14ac:dyDescent="0.3"/>
    <row r="1206" hidden="1" x14ac:dyDescent="0.3"/>
    <row r="1207" hidden="1" x14ac:dyDescent="0.3"/>
    <row r="1208" hidden="1" x14ac:dyDescent="0.3"/>
    <row r="1209" hidden="1" x14ac:dyDescent="0.3"/>
    <row r="1210" hidden="1" x14ac:dyDescent="0.3"/>
    <row r="1211" hidden="1" x14ac:dyDescent="0.3"/>
    <row r="1212" hidden="1" x14ac:dyDescent="0.3"/>
    <row r="1213" hidden="1" x14ac:dyDescent="0.3"/>
    <row r="1214" hidden="1" x14ac:dyDescent="0.3"/>
    <row r="1215" hidden="1" x14ac:dyDescent="0.3"/>
    <row r="1216" hidden="1" x14ac:dyDescent="0.3"/>
    <row r="1217" hidden="1" x14ac:dyDescent="0.3"/>
    <row r="1218" hidden="1" x14ac:dyDescent="0.3"/>
    <row r="1219" hidden="1" x14ac:dyDescent="0.3"/>
    <row r="1220" hidden="1" x14ac:dyDescent="0.3"/>
    <row r="1221" hidden="1" x14ac:dyDescent="0.3"/>
    <row r="1222" hidden="1" x14ac:dyDescent="0.3"/>
    <row r="1223" hidden="1" x14ac:dyDescent="0.3"/>
    <row r="1224" hidden="1" x14ac:dyDescent="0.3"/>
    <row r="1225" hidden="1" x14ac:dyDescent="0.3"/>
    <row r="1226" hidden="1" x14ac:dyDescent="0.3"/>
    <row r="1227" hidden="1" x14ac:dyDescent="0.3"/>
    <row r="1228" hidden="1" x14ac:dyDescent="0.3"/>
    <row r="1229" hidden="1" x14ac:dyDescent="0.3"/>
    <row r="1230" hidden="1" x14ac:dyDescent="0.3"/>
    <row r="1231" hidden="1" x14ac:dyDescent="0.3"/>
    <row r="1232" hidden="1" x14ac:dyDescent="0.3"/>
    <row r="1233" hidden="1" x14ac:dyDescent="0.3"/>
    <row r="1234" hidden="1" x14ac:dyDescent="0.3"/>
    <row r="1235" hidden="1" x14ac:dyDescent="0.3"/>
    <row r="1236" hidden="1" x14ac:dyDescent="0.3"/>
    <row r="1237" hidden="1" x14ac:dyDescent="0.3"/>
    <row r="1238" hidden="1" x14ac:dyDescent="0.3"/>
    <row r="1239" hidden="1" x14ac:dyDescent="0.3"/>
    <row r="1240" hidden="1" x14ac:dyDescent="0.3"/>
    <row r="1241" hidden="1" x14ac:dyDescent="0.3"/>
    <row r="1242" hidden="1" x14ac:dyDescent="0.3"/>
    <row r="1243" hidden="1" x14ac:dyDescent="0.3"/>
    <row r="1244" hidden="1" x14ac:dyDescent="0.3"/>
    <row r="1245" hidden="1" x14ac:dyDescent="0.3"/>
    <row r="1246" hidden="1" x14ac:dyDescent="0.3"/>
    <row r="1247" hidden="1" x14ac:dyDescent="0.3"/>
    <row r="1248" hidden="1" x14ac:dyDescent="0.3"/>
    <row r="1249" hidden="1" x14ac:dyDescent="0.3"/>
    <row r="1250" hidden="1" x14ac:dyDescent="0.3"/>
    <row r="1251" hidden="1" x14ac:dyDescent="0.3"/>
    <row r="1252" hidden="1" x14ac:dyDescent="0.3"/>
    <row r="1253" hidden="1" x14ac:dyDescent="0.3"/>
    <row r="1254" hidden="1" x14ac:dyDescent="0.3"/>
    <row r="1255" hidden="1" x14ac:dyDescent="0.3"/>
    <row r="1256" hidden="1" x14ac:dyDescent="0.3"/>
    <row r="1257" hidden="1" x14ac:dyDescent="0.3"/>
    <row r="1258" hidden="1" x14ac:dyDescent="0.3"/>
    <row r="1259" hidden="1" x14ac:dyDescent="0.3"/>
    <row r="1260" hidden="1" x14ac:dyDescent="0.3"/>
    <row r="1261" hidden="1" x14ac:dyDescent="0.3"/>
    <row r="1262" hidden="1" x14ac:dyDescent="0.3"/>
    <row r="1263" hidden="1" x14ac:dyDescent="0.3"/>
    <row r="1264" hidden="1" x14ac:dyDescent="0.3"/>
    <row r="1265" hidden="1" x14ac:dyDescent="0.3"/>
    <row r="1266" hidden="1" x14ac:dyDescent="0.3"/>
    <row r="1267" hidden="1" x14ac:dyDescent="0.3"/>
    <row r="1268" hidden="1" x14ac:dyDescent="0.3"/>
    <row r="1269" hidden="1" x14ac:dyDescent="0.3"/>
    <row r="1270" hidden="1" x14ac:dyDescent="0.3"/>
    <row r="1271" hidden="1" x14ac:dyDescent="0.3"/>
    <row r="1272" hidden="1" x14ac:dyDescent="0.3"/>
    <row r="1273" hidden="1" x14ac:dyDescent="0.3"/>
    <row r="1274" hidden="1" x14ac:dyDescent="0.3"/>
    <row r="1275" hidden="1" x14ac:dyDescent="0.3"/>
    <row r="1276" hidden="1" x14ac:dyDescent="0.3"/>
    <row r="1277" hidden="1" x14ac:dyDescent="0.3"/>
    <row r="1278" hidden="1" x14ac:dyDescent="0.3"/>
    <row r="1279" hidden="1" x14ac:dyDescent="0.3"/>
    <row r="1280" hidden="1" x14ac:dyDescent="0.3"/>
    <row r="1281" hidden="1" x14ac:dyDescent="0.3"/>
    <row r="1282" hidden="1" x14ac:dyDescent="0.3"/>
    <row r="1283" hidden="1" x14ac:dyDescent="0.3"/>
    <row r="1284" hidden="1" x14ac:dyDescent="0.3"/>
    <row r="1285" hidden="1" x14ac:dyDescent="0.3"/>
    <row r="1286" hidden="1" x14ac:dyDescent="0.3"/>
    <row r="1287" hidden="1" x14ac:dyDescent="0.3"/>
    <row r="1288" hidden="1" x14ac:dyDescent="0.3"/>
    <row r="1289" hidden="1" x14ac:dyDescent="0.3"/>
    <row r="1290" hidden="1" x14ac:dyDescent="0.3"/>
    <row r="1291" hidden="1" x14ac:dyDescent="0.3"/>
    <row r="1292" hidden="1" x14ac:dyDescent="0.3"/>
    <row r="1293" hidden="1" x14ac:dyDescent="0.3"/>
    <row r="1294" hidden="1" x14ac:dyDescent="0.3"/>
    <row r="1295" hidden="1" x14ac:dyDescent="0.3"/>
    <row r="1296" hidden="1" x14ac:dyDescent="0.3"/>
    <row r="1297" hidden="1" x14ac:dyDescent="0.3"/>
    <row r="1298" hidden="1" x14ac:dyDescent="0.3"/>
    <row r="1299" hidden="1" x14ac:dyDescent="0.3"/>
    <row r="1300" hidden="1" x14ac:dyDescent="0.3"/>
    <row r="1301" hidden="1" x14ac:dyDescent="0.3"/>
    <row r="1302" hidden="1" x14ac:dyDescent="0.3"/>
    <row r="1303" hidden="1" x14ac:dyDescent="0.3"/>
    <row r="1304" hidden="1" x14ac:dyDescent="0.3"/>
    <row r="1305" hidden="1" x14ac:dyDescent="0.3"/>
    <row r="1306" hidden="1" x14ac:dyDescent="0.3"/>
    <row r="1307" hidden="1" x14ac:dyDescent="0.3"/>
    <row r="1308" hidden="1" x14ac:dyDescent="0.3"/>
    <row r="1309" hidden="1" x14ac:dyDescent="0.3"/>
    <row r="1310" hidden="1" x14ac:dyDescent="0.3"/>
    <row r="1311" hidden="1" x14ac:dyDescent="0.3"/>
    <row r="1312" hidden="1" x14ac:dyDescent="0.3"/>
    <row r="1313" hidden="1" x14ac:dyDescent="0.3"/>
    <row r="1314" hidden="1" x14ac:dyDescent="0.3"/>
    <row r="1315" hidden="1" x14ac:dyDescent="0.3"/>
    <row r="1316" hidden="1" x14ac:dyDescent="0.3"/>
    <row r="1317" hidden="1" x14ac:dyDescent="0.3"/>
    <row r="1318" hidden="1" x14ac:dyDescent="0.3"/>
    <row r="1319" hidden="1" x14ac:dyDescent="0.3"/>
    <row r="1320" hidden="1" x14ac:dyDescent="0.3"/>
    <row r="1321" hidden="1" x14ac:dyDescent="0.3"/>
    <row r="1322" hidden="1" x14ac:dyDescent="0.3"/>
    <row r="1323" hidden="1" x14ac:dyDescent="0.3"/>
    <row r="1324" hidden="1" x14ac:dyDescent="0.3"/>
    <row r="1325" hidden="1" x14ac:dyDescent="0.3"/>
    <row r="1326" hidden="1" x14ac:dyDescent="0.3"/>
    <row r="1327" hidden="1" x14ac:dyDescent="0.3"/>
    <row r="1328" hidden="1" x14ac:dyDescent="0.3"/>
    <row r="1329" hidden="1" x14ac:dyDescent="0.3"/>
    <row r="1330" hidden="1" x14ac:dyDescent="0.3"/>
    <row r="1331" hidden="1" x14ac:dyDescent="0.3"/>
    <row r="1332" hidden="1" x14ac:dyDescent="0.3"/>
    <row r="1333" hidden="1" x14ac:dyDescent="0.3"/>
    <row r="1334" hidden="1" x14ac:dyDescent="0.3"/>
    <row r="1335" hidden="1" x14ac:dyDescent="0.3"/>
    <row r="1336" hidden="1" x14ac:dyDescent="0.3"/>
    <row r="1337" hidden="1" x14ac:dyDescent="0.3"/>
    <row r="1338" hidden="1" x14ac:dyDescent="0.3"/>
    <row r="1339" hidden="1" x14ac:dyDescent="0.3"/>
    <row r="1340" hidden="1" x14ac:dyDescent="0.3"/>
    <row r="1341" hidden="1" x14ac:dyDescent="0.3"/>
    <row r="1342" hidden="1" x14ac:dyDescent="0.3"/>
    <row r="1343" hidden="1" x14ac:dyDescent="0.3"/>
    <row r="1344" hidden="1" x14ac:dyDescent="0.3"/>
    <row r="1345" hidden="1" x14ac:dyDescent="0.3"/>
    <row r="1346" hidden="1" x14ac:dyDescent="0.3"/>
    <row r="1347" hidden="1" x14ac:dyDescent="0.3"/>
    <row r="1348" hidden="1" x14ac:dyDescent="0.3"/>
    <row r="1349" hidden="1" x14ac:dyDescent="0.3"/>
    <row r="1350" hidden="1" x14ac:dyDescent="0.3"/>
    <row r="1351" hidden="1" x14ac:dyDescent="0.3"/>
    <row r="1352" hidden="1" x14ac:dyDescent="0.3"/>
    <row r="1353" hidden="1" x14ac:dyDescent="0.3"/>
    <row r="1354" hidden="1" x14ac:dyDescent="0.3"/>
    <row r="1355" hidden="1" x14ac:dyDescent="0.3"/>
    <row r="1356" hidden="1" x14ac:dyDescent="0.3"/>
    <row r="1357" hidden="1" x14ac:dyDescent="0.3"/>
    <row r="1358" hidden="1" x14ac:dyDescent="0.3"/>
    <row r="1359" hidden="1" x14ac:dyDescent="0.3"/>
    <row r="1360" hidden="1" x14ac:dyDescent="0.3"/>
    <row r="1361" hidden="1" x14ac:dyDescent="0.3"/>
    <row r="1362" hidden="1" x14ac:dyDescent="0.3"/>
    <row r="1363" hidden="1" x14ac:dyDescent="0.3"/>
    <row r="1364" hidden="1" x14ac:dyDescent="0.3"/>
    <row r="1365" hidden="1" x14ac:dyDescent="0.3"/>
    <row r="1366" hidden="1" x14ac:dyDescent="0.3"/>
    <row r="1367" hidden="1" x14ac:dyDescent="0.3"/>
    <row r="1368" hidden="1" x14ac:dyDescent="0.3"/>
    <row r="1369" hidden="1" x14ac:dyDescent="0.3"/>
    <row r="1370" hidden="1" x14ac:dyDescent="0.3"/>
    <row r="1371" hidden="1" x14ac:dyDescent="0.3"/>
    <row r="1372" hidden="1" x14ac:dyDescent="0.3"/>
    <row r="1373" hidden="1" x14ac:dyDescent="0.3"/>
    <row r="1374" hidden="1" x14ac:dyDescent="0.3"/>
    <row r="1375" hidden="1" x14ac:dyDescent="0.3"/>
    <row r="1376" hidden="1" x14ac:dyDescent="0.3"/>
    <row r="1377" hidden="1" x14ac:dyDescent="0.3"/>
    <row r="1378" hidden="1" x14ac:dyDescent="0.3"/>
    <row r="1379" hidden="1" x14ac:dyDescent="0.3"/>
    <row r="1380" hidden="1" x14ac:dyDescent="0.3"/>
    <row r="1381" hidden="1" x14ac:dyDescent="0.3"/>
    <row r="1382" hidden="1" x14ac:dyDescent="0.3"/>
    <row r="1383" hidden="1" x14ac:dyDescent="0.3"/>
    <row r="1384" hidden="1" x14ac:dyDescent="0.3"/>
    <row r="1385" hidden="1" x14ac:dyDescent="0.3"/>
    <row r="1386" hidden="1" x14ac:dyDescent="0.3"/>
    <row r="1387" hidden="1" x14ac:dyDescent="0.3"/>
    <row r="1388" hidden="1" x14ac:dyDescent="0.3"/>
    <row r="1389" hidden="1" x14ac:dyDescent="0.3"/>
    <row r="1390" hidden="1" x14ac:dyDescent="0.3"/>
    <row r="1391" hidden="1" x14ac:dyDescent="0.3"/>
    <row r="1392" hidden="1" x14ac:dyDescent="0.3"/>
    <row r="1393" hidden="1" x14ac:dyDescent="0.3"/>
    <row r="1394" hidden="1" x14ac:dyDescent="0.3"/>
    <row r="1395" hidden="1" x14ac:dyDescent="0.3"/>
    <row r="1396" hidden="1" x14ac:dyDescent="0.3"/>
    <row r="1397" hidden="1" x14ac:dyDescent="0.3"/>
    <row r="1398" hidden="1" x14ac:dyDescent="0.3"/>
    <row r="1399" hidden="1" x14ac:dyDescent="0.3"/>
    <row r="1400" hidden="1" x14ac:dyDescent="0.3"/>
    <row r="1401" hidden="1" x14ac:dyDescent="0.3"/>
    <row r="1402" hidden="1" x14ac:dyDescent="0.3"/>
    <row r="1403" hidden="1" x14ac:dyDescent="0.3"/>
    <row r="1404" hidden="1" x14ac:dyDescent="0.3"/>
    <row r="1405" hidden="1" x14ac:dyDescent="0.3"/>
    <row r="1406" hidden="1" x14ac:dyDescent="0.3"/>
    <row r="1407" hidden="1" x14ac:dyDescent="0.3"/>
    <row r="1408" hidden="1" x14ac:dyDescent="0.3"/>
    <row r="1409" hidden="1" x14ac:dyDescent="0.3"/>
    <row r="1410" hidden="1" x14ac:dyDescent="0.3"/>
    <row r="1411" hidden="1" x14ac:dyDescent="0.3"/>
    <row r="1412" hidden="1" x14ac:dyDescent="0.3"/>
    <row r="1413" hidden="1" x14ac:dyDescent="0.3"/>
    <row r="1414" hidden="1" x14ac:dyDescent="0.3"/>
    <row r="1415" hidden="1" x14ac:dyDescent="0.3"/>
    <row r="1416" hidden="1" x14ac:dyDescent="0.3"/>
    <row r="1417" hidden="1" x14ac:dyDescent="0.3"/>
    <row r="1418" hidden="1" x14ac:dyDescent="0.3"/>
    <row r="1419" hidden="1" x14ac:dyDescent="0.3"/>
    <row r="1420" hidden="1" x14ac:dyDescent="0.3"/>
    <row r="1421" hidden="1" x14ac:dyDescent="0.3"/>
    <row r="1422" hidden="1" x14ac:dyDescent="0.3"/>
    <row r="1423" hidden="1" x14ac:dyDescent="0.3"/>
    <row r="1424" hidden="1" x14ac:dyDescent="0.3"/>
    <row r="1425" hidden="1" x14ac:dyDescent="0.3"/>
    <row r="1426" hidden="1" x14ac:dyDescent="0.3"/>
    <row r="1427" hidden="1" x14ac:dyDescent="0.3"/>
    <row r="1428" hidden="1" x14ac:dyDescent="0.3"/>
    <row r="1429" hidden="1" x14ac:dyDescent="0.3"/>
    <row r="1430" hidden="1" x14ac:dyDescent="0.3"/>
    <row r="1431" hidden="1" x14ac:dyDescent="0.3"/>
    <row r="1432" hidden="1" x14ac:dyDescent="0.3"/>
    <row r="1433" hidden="1" x14ac:dyDescent="0.3"/>
    <row r="1434" hidden="1" x14ac:dyDescent="0.3"/>
    <row r="1435" hidden="1" x14ac:dyDescent="0.3"/>
    <row r="1436" hidden="1" x14ac:dyDescent="0.3"/>
    <row r="1437" hidden="1" x14ac:dyDescent="0.3"/>
    <row r="1438" hidden="1" x14ac:dyDescent="0.3"/>
    <row r="1439" hidden="1" x14ac:dyDescent="0.3"/>
    <row r="1440" hidden="1" x14ac:dyDescent="0.3"/>
    <row r="1441" hidden="1" x14ac:dyDescent="0.3"/>
    <row r="1442" hidden="1" x14ac:dyDescent="0.3"/>
    <row r="1443" hidden="1" x14ac:dyDescent="0.3"/>
    <row r="1444" hidden="1" x14ac:dyDescent="0.3"/>
    <row r="1445" hidden="1" x14ac:dyDescent="0.3"/>
    <row r="1446" hidden="1" x14ac:dyDescent="0.3"/>
    <row r="1447" hidden="1" x14ac:dyDescent="0.3"/>
    <row r="1448" hidden="1" x14ac:dyDescent="0.3"/>
    <row r="1449" hidden="1" x14ac:dyDescent="0.3"/>
    <row r="1450" hidden="1" x14ac:dyDescent="0.3"/>
    <row r="1451" hidden="1" x14ac:dyDescent="0.3"/>
    <row r="1452" hidden="1" x14ac:dyDescent="0.3"/>
    <row r="1453" hidden="1" x14ac:dyDescent="0.3"/>
    <row r="1454" hidden="1" x14ac:dyDescent="0.3"/>
    <row r="1455" hidden="1" x14ac:dyDescent="0.3"/>
    <row r="1456" hidden="1" x14ac:dyDescent="0.3"/>
    <row r="1457" hidden="1" x14ac:dyDescent="0.3"/>
    <row r="1458" hidden="1" x14ac:dyDescent="0.3"/>
    <row r="1459" hidden="1" x14ac:dyDescent="0.3"/>
    <row r="1460" hidden="1" x14ac:dyDescent="0.3"/>
    <row r="1461" hidden="1" x14ac:dyDescent="0.3"/>
    <row r="1462" hidden="1" x14ac:dyDescent="0.3"/>
    <row r="1463" hidden="1" x14ac:dyDescent="0.3"/>
    <row r="1464" hidden="1" x14ac:dyDescent="0.3"/>
    <row r="1465" hidden="1" x14ac:dyDescent="0.3"/>
    <row r="1466" hidden="1" x14ac:dyDescent="0.3"/>
    <row r="1467" hidden="1" x14ac:dyDescent="0.3"/>
    <row r="1468" hidden="1" x14ac:dyDescent="0.3"/>
    <row r="1469" hidden="1" x14ac:dyDescent="0.3"/>
    <row r="1470" hidden="1" x14ac:dyDescent="0.3"/>
    <row r="1471" hidden="1" x14ac:dyDescent="0.3"/>
    <row r="1472" hidden="1" x14ac:dyDescent="0.3"/>
    <row r="1473" hidden="1" x14ac:dyDescent="0.3"/>
    <row r="1474" hidden="1" x14ac:dyDescent="0.3"/>
    <row r="1475" hidden="1" x14ac:dyDescent="0.3"/>
    <row r="1476" hidden="1" x14ac:dyDescent="0.3"/>
    <row r="1477" hidden="1" x14ac:dyDescent="0.3"/>
    <row r="1478" hidden="1" x14ac:dyDescent="0.3"/>
    <row r="1479" hidden="1" x14ac:dyDescent="0.3"/>
    <row r="1480" hidden="1" x14ac:dyDescent="0.3"/>
    <row r="1481" hidden="1" x14ac:dyDescent="0.3"/>
    <row r="1482" hidden="1" x14ac:dyDescent="0.3"/>
    <row r="1483" hidden="1" x14ac:dyDescent="0.3"/>
    <row r="1484" hidden="1" x14ac:dyDescent="0.3"/>
    <row r="1485" hidden="1" x14ac:dyDescent="0.3"/>
    <row r="1486" hidden="1" x14ac:dyDescent="0.3"/>
    <row r="1487" hidden="1" x14ac:dyDescent="0.3"/>
    <row r="1488" hidden="1" x14ac:dyDescent="0.3"/>
    <row r="1489" hidden="1" x14ac:dyDescent="0.3"/>
    <row r="1490" hidden="1" x14ac:dyDescent="0.3"/>
    <row r="1491" hidden="1" x14ac:dyDescent="0.3"/>
    <row r="1492" hidden="1" x14ac:dyDescent="0.3"/>
    <row r="1493" hidden="1" x14ac:dyDescent="0.3"/>
    <row r="1494" hidden="1" x14ac:dyDescent="0.3"/>
    <row r="1495" hidden="1" x14ac:dyDescent="0.3"/>
    <row r="1496" hidden="1" x14ac:dyDescent="0.3"/>
    <row r="1497" hidden="1" x14ac:dyDescent="0.3"/>
    <row r="1498" hidden="1" x14ac:dyDescent="0.3"/>
    <row r="1499" hidden="1" x14ac:dyDescent="0.3"/>
    <row r="1500" hidden="1" x14ac:dyDescent="0.3"/>
    <row r="1501" hidden="1" x14ac:dyDescent="0.3"/>
    <row r="1502" hidden="1" x14ac:dyDescent="0.3"/>
    <row r="1503" hidden="1" x14ac:dyDescent="0.3"/>
    <row r="1504" hidden="1" x14ac:dyDescent="0.3"/>
    <row r="1505" hidden="1" x14ac:dyDescent="0.3"/>
    <row r="1506" hidden="1" x14ac:dyDescent="0.3"/>
    <row r="1507" hidden="1" x14ac:dyDescent="0.3"/>
    <row r="1508" hidden="1" x14ac:dyDescent="0.3"/>
    <row r="1509" hidden="1" x14ac:dyDescent="0.3"/>
    <row r="1510" hidden="1" x14ac:dyDescent="0.3"/>
    <row r="1511" hidden="1" x14ac:dyDescent="0.3"/>
    <row r="1512" hidden="1" x14ac:dyDescent="0.3"/>
    <row r="1513" hidden="1" x14ac:dyDescent="0.3"/>
    <row r="1514" hidden="1" x14ac:dyDescent="0.3"/>
    <row r="1515" hidden="1" x14ac:dyDescent="0.3"/>
    <row r="1516" hidden="1" x14ac:dyDescent="0.3"/>
    <row r="1517" hidden="1" x14ac:dyDescent="0.3"/>
    <row r="1518" hidden="1" x14ac:dyDescent="0.3"/>
    <row r="1519" hidden="1" x14ac:dyDescent="0.3"/>
    <row r="1520" hidden="1" x14ac:dyDescent="0.3"/>
    <row r="1521" hidden="1" x14ac:dyDescent="0.3"/>
    <row r="1522" hidden="1" x14ac:dyDescent="0.3"/>
    <row r="1523" hidden="1" x14ac:dyDescent="0.3"/>
    <row r="1524" hidden="1" x14ac:dyDescent="0.3"/>
    <row r="1525" hidden="1" x14ac:dyDescent="0.3"/>
    <row r="1526" hidden="1" x14ac:dyDescent="0.3"/>
    <row r="1527" hidden="1" x14ac:dyDescent="0.3"/>
    <row r="1528" hidden="1" x14ac:dyDescent="0.3"/>
    <row r="1529" hidden="1" x14ac:dyDescent="0.3"/>
    <row r="1530" hidden="1" x14ac:dyDescent="0.3"/>
    <row r="1531" hidden="1" x14ac:dyDescent="0.3"/>
    <row r="1532" hidden="1" x14ac:dyDescent="0.3"/>
    <row r="1533" hidden="1" x14ac:dyDescent="0.3"/>
    <row r="1534" hidden="1" x14ac:dyDescent="0.3"/>
    <row r="1535" hidden="1" x14ac:dyDescent="0.3"/>
    <row r="1536" hidden="1" x14ac:dyDescent="0.3"/>
    <row r="1537" hidden="1" x14ac:dyDescent="0.3"/>
    <row r="1538" hidden="1" x14ac:dyDescent="0.3"/>
    <row r="1539" hidden="1" x14ac:dyDescent="0.3"/>
    <row r="1540" hidden="1" x14ac:dyDescent="0.3"/>
    <row r="1541" hidden="1" x14ac:dyDescent="0.3"/>
    <row r="1542" hidden="1" x14ac:dyDescent="0.3"/>
    <row r="1543" hidden="1" x14ac:dyDescent="0.3"/>
    <row r="1544" hidden="1" x14ac:dyDescent="0.3"/>
    <row r="1545" hidden="1" x14ac:dyDescent="0.3"/>
    <row r="1546" hidden="1" x14ac:dyDescent="0.3"/>
    <row r="1547" hidden="1" x14ac:dyDescent="0.3"/>
    <row r="1548" hidden="1" x14ac:dyDescent="0.3"/>
    <row r="1549" hidden="1" x14ac:dyDescent="0.3"/>
    <row r="1550" hidden="1" x14ac:dyDescent="0.3"/>
    <row r="1551" hidden="1" x14ac:dyDescent="0.3"/>
    <row r="1552" hidden="1" x14ac:dyDescent="0.3"/>
    <row r="1553" hidden="1" x14ac:dyDescent="0.3"/>
    <row r="1554" hidden="1" x14ac:dyDescent="0.3"/>
    <row r="1555" hidden="1" x14ac:dyDescent="0.3"/>
    <row r="1556" hidden="1" x14ac:dyDescent="0.3"/>
    <row r="1557" hidden="1" x14ac:dyDescent="0.3"/>
    <row r="1558" hidden="1" x14ac:dyDescent="0.3"/>
    <row r="1559" hidden="1" x14ac:dyDescent="0.3"/>
    <row r="1560" hidden="1" x14ac:dyDescent="0.3"/>
    <row r="1561" hidden="1" x14ac:dyDescent="0.3"/>
    <row r="1562" hidden="1" x14ac:dyDescent="0.3"/>
    <row r="1563" hidden="1" x14ac:dyDescent="0.3"/>
    <row r="1564" hidden="1" x14ac:dyDescent="0.3"/>
    <row r="1565" hidden="1" x14ac:dyDescent="0.3"/>
    <row r="1566" hidden="1" x14ac:dyDescent="0.3"/>
    <row r="1567" hidden="1" x14ac:dyDescent="0.3"/>
    <row r="1568" hidden="1" x14ac:dyDescent="0.3"/>
    <row r="1569" hidden="1" x14ac:dyDescent="0.3"/>
    <row r="1570" hidden="1" x14ac:dyDescent="0.3"/>
    <row r="1571" hidden="1" x14ac:dyDescent="0.3"/>
    <row r="1572" hidden="1" x14ac:dyDescent="0.3"/>
    <row r="1573" hidden="1" x14ac:dyDescent="0.3"/>
    <row r="1574" hidden="1" x14ac:dyDescent="0.3"/>
    <row r="1575" hidden="1" x14ac:dyDescent="0.3"/>
    <row r="1576" hidden="1" x14ac:dyDescent="0.3"/>
    <row r="1577" hidden="1" x14ac:dyDescent="0.3"/>
    <row r="1578" hidden="1" x14ac:dyDescent="0.3"/>
    <row r="1579" hidden="1" x14ac:dyDescent="0.3"/>
    <row r="1580" hidden="1" x14ac:dyDescent="0.3"/>
    <row r="1581" hidden="1" x14ac:dyDescent="0.3"/>
    <row r="1582" hidden="1" x14ac:dyDescent="0.3"/>
    <row r="1583" hidden="1" x14ac:dyDescent="0.3"/>
    <row r="1584" hidden="1" x14ac:dyDescent="0.3"/>
    <row r="1585" hidden="1" x14ac:dyDescent="0.3"/>
    <row r="1586" hidden="1" x14ac:dyDescent="0.3"/>
    <row r="1587" hidden="1" x14ac:dyDescent="0.3"/>
    <row r="1588" hidden="1" x14ac:dyDescent="0.3"/>
    <row r="1589" hidden="1" x14ac:dyDescent="0.3"/>
    <row r="1590" hidden="1" x14ac:dyDescent="0.3"/>
    <row r="1591" hidden="1" x14ac:dyDescent="0.3"/>
    <row r="1592" hidden="1" x14ac:dyDescent="0.3"/>
    <row r="1593" hidden="1" x14ac:dyDescent="0.3"/>
    <row r="1594" hidden="1" x14ac:dyDescent="0.3"/>
    <row r="1595" hidden="1" x14ac:dyDescent="0.3"/>
    <row r="1596" hidden="1" x14ac:dyDescent="0.3"/>
    <row r="1597" hidden="1" x14ac:dyDescent="0.3"/>
    <row r="1598" hidden="1" x14ac:dyDescent="0.3"/>
    <row r="1599" hidden="1" x14ac:dyDescent="0.3"/>
    <row r="1600" hidden="1" x14ac:dyDescent="0.3"/>
    <row r="1601" hidden="1" x14ac:dyDescent="0.3"/>
    <row r="1602" hidden="1" x14ac:dyDescent="0.3"/>
    <row r="1603" hidden="1" x14ac:dyDescent="0.3"/>
    <row r="1604" hidden="1" x14ac:dyDescent="0.3"/>
    <row r="1605" hidden="1" x14ac:dyDescent="0.3"/>
    <row r="1606" hidden="1" x14ac:dyDescent="0.3"/>
    <row r="1607" hidden="1" x14ac:dyDescent="0.3"/>
    <row r="1608" hidden="1" x14ac:dyDescent="0.3"/>
    <row r="1609" hidden="1" x14ac:dyDescent="0.3"/>
    <row r="1610" hidden="1" x14ac:dyDescent="0.3"/>
    <row r="1611" hidden="1" x14ac:dyDescent="0.3"/>
    <row r="1612" hidden="1" x14ac:dyDescent="0.3"/>
    <row r="1613" hidden="1" x14ac:dyDescent="0.3"/>
    <row r="1614" hidden="1" x14ac:dyDescent="0.3"/>
    <row r="1615" hidden="1" x14ac:dyDescent="0.3"/>
    <row r="1616" hidden="1" x14ac:dyDescent="0.3"/>
    <row r="1617" hidden="1" x14ac:dyDescent="0.3"/>
    <row r="1618" hidden="1" x14ac:dyDescent="0.3"/>
    <row r="1619" hidden="1" x14ac:dyDescent="0.3"/>
    <row r="1620" hidden="1" x14ac:dyDescent="0.3"/>
    <row r="1621" hidden="1" x14ac:dyDescent="0.3"/>
    <row r="1622" hidden="1" x14ac:dyDescent="0.3"/>
    <row r="1623" hidden="1" x14ac:dyDescent="0.3"/>
    <row r="1624" hidden="1" x14ac:dyDescent="0.3"/>
    <row r="1625" hidden="1" x14ac:dyDescent="0.3"/>
    <row r="1626" hidden="1" x14ac:dyDescent="0.3"/>
    <row r="1627" hidden="1" x14ac:dyDescent="0.3"/>
    <row r="1628" hidden="1" x14ac:dyDescent="0.3"/>
    <row r="1629" hidden="1" x14ac:dyDescent="0.3"/>
    <row r="1630" hidden="1" x14ac:dyDescent="0.3"/>
    <row r="1631" hidden="1" x14ac:dyDescent="0.3"/>
    <row r="1632" hidden="1" x14ac:dyDescent="0.3"/>
    <row r="1633" hidden="1" x14ac:dyDescent="0.3"/>
    <row r="1634" hidden="1" x14ac:dyDescent="0.3"/>
    <row r="1635" hidden="1" x14ac:dyDescent="0.3"/>
    <row r="1636" hidden="1" x14ac:dyDescent="0.3"/>
    <row r="1637" hidden="1" x14ac:dyDescent="0.3"/>
    <row r="1638" hidden="1" x14ac:dyDescent="0.3"/>
    <row r="1639" hidden="1" x14ac:dyDescent="0.3"/>
    <row r="1640" hidden="1" x14ac:dyDescent="0.3"/>
    <row r="1641" hidden="1" x14ac:dyDescent="0.3"/>
    <row r="1642" hidden="1" x14ac:dyDescent="0.3"/>
    <row r="1643" hidden="1" x14ac:dyDescent="0.3"/>
    <row r="1644" hidden="1" x14ac:dyDescent="0.3"/>
    <row r="1645" hidden="1" x14ac:dyDescent="0.3"/>
    <row r="1646" hidden="1" x14ac:dyDescent="0.3"/>
    <row r="1647" hidden="1" x14ac:dyDescent="0.3"/>
    <row r="1648" hidden="1" x14ac:dyDescent="0.3"/>
    <row r="1649" hidden="1" x14ac:dyDescent="0.3"/>
    <row r="1650" hidden="1" x14ac:dyDescent="0.3"/>
    <row r="1651" hidden="1" x14ac:dyDescent="0.3"/>
    <row r="1652" hidden="1" x14ac:dyDescent="0.3"/>
    <row r="1653" hidden="1" x14ac:dyDescent="0.3"/>
    <row r="1654" hidden="1" x14ac:dyDescent="0.3"/>
    <row r="1655" hidden="1" x14ac:dyDescent="0.3"/>
    <row r="1656" hidden="1" x14ac:dyDescent="0.3"/>
    <row r="1657" hidden="1" x14ac:dyDescent="0.3"/>
    <row r="1658" hidden="1" x14ac:dyDescent="0.3"/>
    <row r="1659" hidden="1" x14ac:dyDescent="0.3"/>
    <row r="1660" hidden="1" x14ac:dyDescent="0.3"/>
    <row r="1661" hidden="1" x14ac:dyDescent="0.3"/>
    <row r="1662" hidden="1" x14ac:dyDescent="0.3"/>
    <row r="1663" hidden="1" x14ac:dyDescent="0.3"/>
    <row r="1664" hidden="1" x14ac:dyDescent="0.3"/>
    <row r="1665" hidden="1" x14ac:dyDescent="0.3"/>
    <row r="1666" hidden="1" x14ac:dyDescent="0.3"/>
    <row r="1667" hidden="1" x14ac:dyDescent="0.3"/>
    <row r="1668" hidden="1" x14ac:dyDescent="0.3"/>
    <row r="1669" hidden="1" x14ac:dyDescent="0.3"/>
    <row r="1670" hidden="1" x14ac:dyDescent="0.3"/>
    <row r="1671" hidden="1" x14ac:dyDescent="0.3"/>
    <row r="1672" hidden="1" x14ac:dyDescent="0.3"/>
    <row r="1673" hidden="1" x14ac:dyDescent="0.3"/>
    <row r="1674" hidden="1" x14ac:dyDescent="0.3"/>
    <row r="1675" hidden="1" x14ac:dyDescent="0.3"/>
    <row r="1676" hidden="1" x14ac:dyDescent="0.3"/>
    <row r="1677" hidden="1" x14ac:dyDescent="0.3"/>
    <row r="1678" hidden="1" x14ac:dyDescent="0.3"/>
    <row r="1679" hidden="1" x14ac:dyDescent="0.3"/>
    <row r="1680" hidden="1" x14ac:dyDescent="0.3"/>
    <row r="1681" hidden="1" x14ac:dyDescent="0.3"/>
    <row r="1682" hidden="1" x14ac:dyDescent="0.3"/>
    <row r="1683" hidden="1" x14ac:dyDescent="0.3"/>
    <row r="1684" hidden="1" x14ac:dyDescent="0.3"/>
    <row r="1685" hidden="1" x14ac:dyDescent="0.3"/>
    <row r="1686" hidden="1" x14ac:dyDescent="0.3"/>
    <row r="1687" hidden="1" x14ac:dyDescent="0.3"/>
    <row r="1688" hidden="1" x14ac:dyDescent="0.3"/>
    <row r="1689" hidden="1" x14ac:dyDescent="0.3"/>
    <row r="1690" hidden="1" x14ac:dyDescent="0.3"/>
    <row r="1691" hidden="1" x14ac:dyDescent="0.3"/>
    <row r="1692" hidden="1" x14ac:dyDescent="0.3"/>
    <row r="1693" hidden="1" x14ac:dyDescent="0.3"/>
    <row r="1694" hidden="1" x14ac:dyDescent="0.3"/>
    <row r="1695" hidden="1" x14ac:dyDescent="0.3"/>
    <row r="1696" hidden="1" x14ac:dyDescent="0.3"/>
    <row r="1697" hidden="1" x14ac:dyDescent="0.3"/>
    <row r="1698" hidden="1" x14ac:dyDescent="0.3"/>
    <row r="1699" hidden="1" x14ac:dyDescent="0.3"/>
    <row r="1700" hidden="1" x14ac:dyDescent="0.3"/>
    <row r="1701" hidden="1" x14ac:dyDescent="0.3"/>
    <row r="1702" hidden="1" x14ac:dyDescent="0.3"/>
    <row r="1703" hidden="1" x14ac:dyDescent="0.3"/>
    <row r="1704" hidden="1" x14ac:dyDescent="0.3"/>
    <row r="1705" hidden="1" x14ac:dyDescent="0.3"/>
    <row r="1706" hidden="1" x14ac:dyDescent="0.3"/>
    <row r="1707" hidden="1" x14ac:dyDescent="0.3"/>
    <row r="1708" hidden="1" x14ac:dyDescent="0.3"/>
    <row r="1709" hidden="1" x14ac:dyDescent="0.3"/>
    <row r="1710" hidden="1" x14ac:dyDescent="0.3"/>
    <row r="1711" hidden="1" x14ac:dyDescent="0.3"/>
    <row r="1712" hidden="1" x14ac:dyDescent="0.3"/>
    <row r="1713" hidden="1" x14ac:dyDescent="0.3"/>
    <row r="1714" hidden="1" x14ac:dyDescent="0.3"/>
    <row r="1715" hidden="1" x14ac:dyDescent="0.3"/>
    <row r="1716" hidden="1" x14ac:dyDescent="0.3"/>
    <row r="1717" hidden="1" x14ac:dyDescent="0.3"/>
    <row r="1718" hidden="1" x14ac:dyDescent="0.3"/>
    <row r="1719" hidden="1" x14ac:dyDescent="0.3"/>
    <row r="1720" hidden="1" x14ac:dyDescent="0.3"/>
    <row r="1721" hidden="1" x14ac:dyDescent="0.3"/>
    <row r="1722" hidden="1" x14ac:dyDescent="0.3"/>
    <row r="1723" hidden="1" x14ac:dyDescent="0.3"/>
    <row r="1724" hidden="1" x14ac:dyDescent="0.3"/>
    <row r="1725" hidden="1" x14ac:dyDescent="0.3"/>
    <row r="1726" hidden="1" x14ac:dyDescent="0.3"/>
    <row r="1727" hidden="1" x14ac:dyDescent="0.3"/>
    <row r="1728" hidden="1" x14ac:dyDescent="0.3"/>
    <row r="1729" hidden="1" x14ac:dyDescent="0.3"/>
    <row r="1730" hidden="1" x14ac:dyDescent="0.3"/>
    <row r="1731" hidden="1" x14ac:dyDescent="0.3"/>
    <row r="1732" hidden="1" x14ac:dyDescent="0.3"/>
    <row r="1733" hidden="1" x14ac:dyDescent="0.3"/>
    <row r="1734" hidden="1" x14ac:dyDescent="0.3"/>
    <row r="1735" hidden="1" x14ac:dyDescent="0.3"/>
    <row r="1736" hidden="1" x14ac:dyDescent="0.3"/>
    <row r="1737" hidden="1" x14ac:dyDescent="0.3"/>
    <row r="1738" hidden="1" x14ac:dyDescent="0.3"/>
    <row r="1739" hidden="1" x14ac:dyDescent="0.3"/>
    <row r="1740" hidden="1" x14ac:dyDescent="0.3"/>
    <row r="1741" hidden="1" x14ac:dyDescent="0.3"/>
    <row r="1742" hidden="1" x14ac:dyDescent="0.3"/>
    <row r="1743" hidden="1" x14ac:dyDescent="0.3"/>
    <row r="1744" hidden="1" x14ac:dyDescent="0.3"/>
    <row r="1745" hidden="1" x14ac:dyDescent="0.3"/>
    <row r="1746" hidden="1" x14ac:dyDescent="0.3"/>
    <row r="1747" hidden="1" x14ac:dyDescent="0.3"/>
    <row r="1748" hidden="1" x14ac:dyDescent="0.3"/>
    <row r="1749" hidden="1" x14ac:dyDescent="0.3"/>
    <row r="1750" hidden="1" x14ac:dyDescent="0.3"/>
    <row r="1751" hidden="1" x14ac:dyDescent="0.3"/>
    <row r="1752" hidden="1" x14ac:dyDescent="0.3"/>
    <row r="1753" hidden="1" x14ac:dyDescent="0.3"/>
    <row r="1754" hidden="1" x14ac:dyDescent="0.3"/>
    <row r="1755" hidden="1" x14ac:dyDescent="0.3"/>
    <row r="1756" hidden="1" x14ac:dyDescent="0.3"/>
    <row r="1757" hidden="1" x14ac:dyDescent="0.3"/>
    <row r="1758" hidden="1" x14ac:dyDescent="0.3"/>
    <row r="1759" hidden="1" x14ac:dyDescent="0.3"/>
    <row r="1760" hidden="1" x14ac:dyDescent="0.3"/>
    <row r="1761" hidden="1" x14ac:dyDescent="0.3"/>
    <row r="1762" hidden="1" x14ac:dyDescent="0.3"/>
    <row r="1763" hidden="1" x14ac:dyDescent="0.3"/>
    <row r="1764" hidden="1" x14ac:dyDescent="0.3"/>
    <row r="1765" hidden="1" x14ac:dyDescent="0.3"/>
    <row r="1766" hidden="1" x14ac:dyDescent="0.3"/>
    <row r="1767" hidden="1" x14ac:dyDescent="0.3"/>
    <row r="1768" hidden="1" x14ac:dyDescent="0.3"/>
    <row r="1769" hidden="1" x14ac:dyDescent="0.3"/>
    <row r="1770" hidden="1" x14ac:dyDescent="0.3"/>
    <row r="1771" hidden="1" x14ac:dyDescent="0.3"/>
    <row r="1772" hidden="1" x14ac:dyDescent="0.3"/>
    <row r="1773" hidden="1" x14ac:dyDescent="0.3"/>
    <row r="1774" hidden="1" x14ac:dyDescent="0.3"/>
    <row r="1775" hidden="1" x14ac:dyDescent="0.3"/>
    <row r="1776" hidden="1" x14ac:dyDescent="0.3"/>
    <row r="1777" hidden="1" x14ac:dyDescent="0.3"/>
    <row r="1778" hidden="1" x14ac:dyDescent="0.3"/>
    <row r="1779" hidden="1" x14ac:dyDescent="0.3"/>
    <row r="1780" hidden="1" x14ac:dyDescent="0.3"/>
    <row r="1781" hidden="1" x14ac:dyDescent="0.3"/>
    <row r="1782" hidden="1" x14ac:dyDescent="0.3"/>
    <row r="1783" hidden="1" x14ac:dyDescent="0.3"/>
    <row r="1784" hidden="1" x14ac:dyDescent="0.3"/>
    <row r="1785" hidden="1" x14ac:dyDescent="0.3"/>
    <row r="1786" hidden="1" x14ac:dyDescent="0.3"/>
    <row r="1787" hidden="1" x14ac:dyDescent="0.3"/>
    <row r="1788" hidden="1" x14ac:dyDescent="0.3"/>
    <row r="1789" hidden="1" x14ac:dyDescent="0.3"/>
    <row r="1790" hidden="1" x14ac:dyDescent="0.3"/>
    <row r="1791" hidden="1" x14ac:dyDescent="0.3"/>
    <row r="1792" hidden="1" x14ac:dyDescent="0.3"/>
    <row r="1793" hidden="1" x14ac:dyDescent="0.3"/>
    <row r="1794" hidden="1" x14ac:dyDescent="0.3"/>
    <row r="1795" hidden="1" x14ac:dyDescent="0.3"/>
    <row r="1796" hidden="1" x14ac:dyDescent="0.3"/>
    <row r="1797" hidden="1" x14ac:dyDescent="0.3"/>
    <row r="1798" hidden="1" x14ac:dyDescent="0.3"/>
    <row r="1799" hidden="1" x14ac:dyDescent="0.3"/>
    <row r="1800" hidden="1" x14ac:dyDescent="0.3"/>
    <row r="1801" hidden="1" x14ac:dyDescent="0.3"/>
    <row r="1802" hidden="1" x14ac:dyDescent="0.3"/>
    <row r="1803" hidden="1" x14ac:dyDescent="0.3"/>
    <row r="1804" hidden="1" x14ac:dyDescent="0.3"/>
    <row r="1805" hidden="1" x14ac:dyDescent="0.3"/>
    <row r="1806" hidden="1" x14ac:dyDescent="0.3"/>
    <row r="1807" hidden="1" x14ac:dyDescent="0.3"/>
    <row r="1808" hidden="1" x14ac:dyDescent="0.3"/>
    <row r="1809" hidden="1" x14ac:dyDescent="0.3"/>
    <row r="1810" hidden="1" x14ac:dyDescent="0.3"/>
    <row r="1811" hidden="1" x14ac:dyDescent="0.3"/>
    <row r="1812" hidden="1" x14ac:dyDescent="0.3"/>
    <row r="1813" hidden="1" x14ac:dyDescent="0.3"/>
    <row r="1814" hidden="1" x14ac:dyDescent="0.3"/>
    <row r="1815" hidden="1" x14ac:dyDescent="0.3"/>
    <row r="1816" hidden="1" x14ac:dyDescent="0.3"/>
    <row r="1817" hidden="1" x14ac:dyDescent="0.3"/>
    <row r="1818" hidden="1" x14ac:dyDescent="0.3"/>
    <row r="1819" hidden="1" x14ac:dyDescent="0.3"/>
    <row r="1820" hidden="1" x14ac:dyDescent="0.3"/>
    <row r="1821" hidden="1" x14ac:dyDescent="0.3"/>
    <row r="1822" hidden="1" x14ac:dyDescent="0.3"/>
    <row r="1823" hidden="1" x14ac:dyDescent="0.3"/>
    <row r="1824" hidden="1" x14ac:dyDescent="0.3"/>
    <row r="1825" hidden="1" x14ac:dyDescent="0.3"/>
    <row r="1826" hidden="1" x14ac:dyDescent="0.3"/>
    <row r="1827" hidden="1" x14ac:dyDescent="0.3"/>
    <row r="1828" hidden="1" x14ac:dyDescent="0.3"/>
    <row r="1829" hidden="1" x14ac:dyDescent="0.3"/>
    <row r="1830" hidden="1" x14ac:dyDescent="0.3"/>
    <row r="1831" hidden="1" x14ac:dyDescent="0.3"/>
    <row r="1832" hidden="1" x14ac:dyDescent="0.3"/>
    <row r="1833" hidden="1" x14ac:dyDescent="0.3"/>
    <row r="1834" hidden="1" x14ac:dyDescent="0.3"/>
    <row r="1835" hidden="1" x14ac:dyDescent="0.3"/>
    <row r="1836" hidden="1" x14ac:dyDescent="0.3"/>
    <row r="1837" hidden="1" x14ac:dyDescent="0.3"/>
    <row r="1838" hidden="1" x14ac:dyDescent="0.3"/>
    <row r="1839" hidden="1" x14ac:dyDescent="0.3"/>
    <row r="1840" hidden="1" x14ac:dyDescent="0.3"/>
    <row r="1841" hidden="1" x14ac:dyDescent="0.3"/>
    <row r="1842" hidden="1" x14ac:dyDescent="0.3"/>
    <row r="1843" hidden="1" x14ac:dyDescent="0.3"/>
    <row r="1844" hidden="1" x14ac:dyDescent="0.3"/>
    <row r="1845" hidden="1" x14ac:dyDescent="0.3"/>
    <row r="1846" hidden="1" x14ac:dyDescent="0.3"/>
    <row r="1847" hidden="1" x14ac:dyDescent="0.3"/>
    <row r="1848" hidden="1" x14ac:dyDescent="0.3"/>
    <row r="1849" hidden="1" x14ac:dyDescent="0.3"/>
    <row r="1850" hidden="1" x14ac:dyDescent="0.3"/>
    <row r="1851" hidden="1" x14ac:dyDescent="0.3"/>
    <row r="1852" hidden="1" x14ac:dyDescent="0.3"/>
    <row r="1853" hidden="1" x14ac:dyDescent="0.3"/>
    <row r="1854" hidden="1" x14ac:dyDescent="0.3"/>
    <row r="1855" hidden="1" x14ac:dyDescent="0.3"/>
    <row r="1856" hidden="1" x14ac:dyDescent="0.3"/>
    <row r="1857" hidden="1" x14ac:dyDescent="0.3"/>
    <row r="1858" hidden="1" x14ac:dyDescent="0.3"/>
    <row r="1859" hidden="1" x14ac:dyDescent="0.3"/>
    <row r="1860" hidden="1" x14ac:dyDescent="0.3"/>
    <row r="1861" hidden="1" x14ac:dyDescent="0.3"/>
    <row r="1862" hidden="1" x14ac:dyDescent="0.3"/>
    <row r="1863" hidden="1" x14ac:dyDescent="0.3"/>
    <row r="1864" hidden="1" x14ac:dyDescent="0.3"/>
    <row r="1865" hidden="1" x14ac:dyDescent="0.3"/>
    <row r="1866" hidden="1" x14ac:dyDescent="0.3"/>
    <row r="1867" hidden="1" x14ac:dyDescent="0.3"/>
    <row r="1868" hidden="1" x14ac:dyDescent="0.3"/>
    <row r="1869" hidden="1" x14ac:dyDescent="0.3"/>
    <row r="1870" hidden="1" x14ac:dyDescent="0.3"/>
    <row r="1871" hidden="1" x14ac:dyDescent="0.3"/>
    <row r="1872" hidden="1" x14ac:dyDescent="0.3"/>
    <row r="1873" hidden="1" x14ac:dyDescent="0.3"/>
    <row r="1874" hidden="1" x14ac:dyDescent="0.3"/>
    <row r="1875" hidden="1" x14ac:dyDescent="0.3"/>
    <row r="1876" hidden="1" x14ac:dyDescent="0.3"/>
    <row r="1877" hidden="1" x14ac:dyDescent="0.3"/>
    <row r="1878" hidden="1" x14ac:dyDescent="0.3"/>
    <row r="1879" hidden="1" x14ac:dyDescent="0.3"/>
    <row r="1880" hidden="1" x14ac:dyDescent="0.3"/>
    <row r="1881" hidden="1" x14ac:dyDescent="0.3"/>
    <row r="1882" hidden="1" x14ac:dyDescent="0.3"/>
    <row r="1883" hidden="1" x14ac:dyDescent="0.3"/>
    <row r="1884" hidden="1" x14ac:dyDescent="0.3"/>
    <row r="1885" hidden="1" x14ac:dyDescent="0.3"/>
    <row r="1886" hidden="1" x14ac:dyDescent="0.3"/>
    <row r="1887" hidden="1" x14ac:dyDescent="0.3"/>
    <row r="1888" hidden="1" x14ac:dyDescent="0.3"/>
    <row r="1889" hidden="1" x14ac:dyDescent="0.3"/>
    <row r="1890" hidden="1" x14ac:dyDescent="0.3"/>
    <row r="1891" hidden="1" x14ac:dyDescent="0.3"/>
    <row r="1892" hidden="1" x14ac:dyDescent="0.3"/>
    <row r="1893" hidden="1" x14ac:dyDescent="0.3"/>
    <row r="1894" hidden="1" x14ac:dyDescent="0.3"/>
    <row r="1895" hidden="1" x14ac:dyDescent="0.3"/>
    <row r="1896" hidden="1" x14ac:dyDescent="0.3"/>
    <row r="1897" hidden="1" x14ac:dyDescent="0.3"/>
    <row r="1898" hidden="1" x14ac:dyDescent="0.3"/>
    <row r="1899" hidden="1" x14ac:dyDescent="0.3"/>
    <row r="1900" hidden="1" x14ac:dyDescent="0.3"/>
    <row r="1901" hidden="1" x14ac:dyDescent="0.3"/>
    <row r="1902" hidden="1" x14ac:dyDescent="0.3"/>
    <row r="1903" hidden="1" x14ac:dyDescent="0.3"/>
    <row r="1904" hidden="1" x14ac:dyDescent="0.3"/>
    <row r="1905" hidden="1" x14ac:dyDescent="0.3"/>
    <row r="1906" hidden="1" x14ac:dyDescent="0.3"/>
    <row r="1907" hidden="1" x14ac:dyDescent="0.3"/>
    <row r="1908" hidden="1" x14ac:dyDescent="0.3"/>
    <row r="1909" hidden="1" x14ac:dyDescent="0.3"/>
    <row r="1910" hidden="1" x14ac:dyDescent="0.3"/>
    <row r="1911" hidden="1" x14ac:dyDescent="0.3"/>
    <row r="1912" hidden="1" x14ac:dyDescent="0.3"/>
    <row r="1913" hidden="1" x14ac:dyDescent="0.3"/>
    <row r="1914" hidden="1" x14ac:dyDescent="0.3"/>
    <row r="1915" hidden="1" x14ac:dyDescent="0.3"/>
    <row r="1916" hidden="1" x14ac:dyDescent="0.3"/>
    <row r="1917" hidden="1" x14ac:dyDescent="0.3"/>
    <row r="1918" hidden="1" x14ac:dyDescent="0.3"/>
    <row r="1919" hidden="1" x14ac:dyDescent="0.3"/>
    <row r="1920" hidden="1" x14ac:dyDescent="0.3"/>
    <row r="1921" hidden="1" x14ac:dyDescent="0.3"/>
    <row r="1922" hidden="1" x14ac:dyDescent="0.3"/>
    <row r="1923" hidden="1" x14ac:dyDescent="0.3"/>
    <row r="1924" hidden="1" x14ac:dyDescent="0.3"/>
    <row r="1925" hidden="1" x14ac:dyDescent="0.3"/>
    <row r="1926" hidden="1" x14ac:dyDescent="0.3"/>
    <row r="1927" hidden="1" x14ac:dyDescent="0.3"/>
    <row r="1928" hidden="1" x14ac:dyDescent="0.3"/>
    <row r="1929" hidden="1" x14ac:dyDescent="0.3"/>
    <row r="1930" hidden="1" x14ac:dyDescent="0.3"/>
    <row r="1931" hidden="1" x14ac:dyDescent="0.3"/>
    <row r="1932" hidden="1" x14ac:dyDescent="0.3"/>
    <row r="1933" hidden="1" x14ac:dyDescent="0.3"/>
    <row r="1934" hidden="1" x14ac:dyDescent="0.3"/>
    <row r="1935" hidden="1" x14ac:dyDescent="0.3"/>
    <row r="1936" hidden="1" x14ac:dyDescent="0.3"/>
    <row r="1937" hidden="1" x14ac:dyDescent="0.3"/>
    <row r="1938" hidden="1" x14ac:dyDescent="0.3"/>
    <row r="1939" hidden="1" x14ac:dyDescent="0.3"/>
    <row r="1940" hidden="1" x14ac:dyDescent="0.3"/>
    <row r="1941" hidden="1" x14ac:dyDescent="0.3"/>
    <row r="1942" hidden="1" x14ac:dyDescent="0.3"/>
    <row r="1943" hidden="1" x14ac:dyDescent="0.3"/>
    <row r="1944" hidden="1" x14ac:dyDescent="0.3"/>
    <row r="1945" hidden="1" x14ac:dyDescent="0.3"/>
    <row r="1946" hidden="1" x14ac:dyDescent="0.3"/>
    <row r="1947" hidden="1" x14ac:dyDescent="0.3"/>
    <row r="1948" hidden="1" x14ac:dyDescent="0.3"/>
    <row r="1949" hidden="1" x14ac:dyDescent="0.3"/>
    <row r="1950" hidden="1" x14ac:dyDescent="0.3"/>
    <row r="1951" hidden="1" x14ac:dyDescent="0.3"/>
    <row r="1952" hidden="1" x14ac:dyDescent="0.3"/>
    <row r="1953" hidden="1" x14ac:dyDescent="0.3"/>
    <row r="1954" hidden="1" x14ac:dyDescent="0.3"/>
    <row r="1955" hidden="1" x14ac:dyDescent="0.3"/>
    <row r="1956" hidden="1" x14ac:dyDescent="0.3"/>
    <row r="1957" hidden="1" x14ac:dyDescent="0.3"/>
    <row r="1958" hidden="1" x14ac:dyDescent="0.3"/>
    <row r="1959" hidden="1" x14ac:dyDescent="0.3"/>
    <row r="1960" hidden="1" x14ac:dyDescent="0.3"/>
    <row r="1961" hidden="1" x14ac:dyDescent="0.3"/>
    <row r="1962" hidden="1" x14ac:dyDescent="0.3"/>
    <row r="1963" hidden="1" x14ac:dyDescent="0.3"/>
    <row r="1964" hidden="1" x14ac:dyDescent="0.3"/>
    <row r="1965" hidden="1" x14ac:dyDescent="0.3"/>
    <row r="1966" hidden="1" x14ac:dyDescent="0.3"/>
    <row r="1967" hidden="1" x14ac:dyDescent="0.3"/>
    <row r="1968" hidden="1" x14ac:dyDescent="0.3"/>
    <row r="1969" hidden="1" x14ac:dyDescent="0.3"/>
    <row r="1970" hidden="1" x14ac:dyDescent="0.3"/>
    <row r="1971" hidden="1" x14ac:dyDescent="0.3"/>
    <row r="1972" hidden="1" x14ac:dyDescent="0.3"/>
    <row r="1973" hidden="1" x14ac:dyDescent="0.3"/>
    <row r="1974" hidden="1" x14ac:dyDescent="0.3"/>
    <row r="1975" hidden="1" x14ac:dyDescent="0.3"/>
    <row r="1976" hidden="1" x14ac:dyDescent="0.3"/>
    <row r="1977" hidden="1" x14ac:dyDescent="0.3"/>
    <row r="1978" hidden="1" x14ac:dyDescent="0.3"/>
    <row r="1979" hidden="1" x14ac:dyDescent="0.3"/>
    <row r="1980" hidden="1" x14ac:dyDescent="0.3"/>
    <row r="1981" hidden="1" x14ac:dyDescent="0.3"/>
    <row r="1982" hidden="1" x14ac:dyDescent="0.3"/>
    <row r="1983" hidden="1" x14ac:dyDescent="0.3"/>
    <row r="1984" hidden="1" x14ac:dyDescent="0.3"/>
    <row r="1985" hidden="1" x14ac:dyDescent="0.3"/>
    <row r="1986" hidden="1" x14ac:dyDescent="0.3"/>
    <row r="1987" hidden="1" x14ac:dyDescent="0.3"/>
    <row r="1988" hidden="1" x14ac:dyDescent="0.3"/>
    <row r="1989" hidden="1" x14ac:dyDescent="0.3"/>
    <row r="1990" hidden="1" x14ac:dyDescent="0.3"/>
    <row r="1991" hidden="1" x14ac:dyDescent="0.3"/>
    <row r="1992" hidden="1" x14ac:dyDescent="0.3"/>
    <row r="1993" hidden="1" x14ac:dyDescent="0.3"/>
    <row r="1994" hidden="1" x14ac:dyDescent="0.3"/>
    <row r="1995" hidden="1" x14ac:dyDescent="0.3"/>
    <row r="1996" hidden="1" x14ac:dyDescent="0.3"/>
    <row r="1997" hidden="1" x14ac:dyDescent="0.3"/>
    <row r="1998" hidden="1" x14ac:dyDescent="0.3"/>
    <row r="1999" hidden="1" x14ac:dyDescent="0.3"/>
    <row r="2000" hidden="1" x14ac:dyDescent="0.3"/>
    <row r="2001" hidden="1" x14ac:dyDescent="0.3"/>
    <row r="2002" hidden="1" x14ac:dyDescent="0.3"/>
    <row r="2003" hidden="1" x14ac:dyDescent="0.3"/>
    <row r="2004" hidden="1" x14ac:dyDescent="0.3"/>
    <row r="2005" hidden="1" x14ac:dyDescent="0.3"/>
    <row r="2006" hidden="1" x14ac:dyDescent="0.3"/>
    <row r="2007" hidden="1" x14ac:dyDescent="0.3"/>
    <row r="2008" hidden="1" x14ac:dyDescent="0.3"/>
    <row r="2009" hidden="1" x14ac:dyDescent="0.3"/>
    <row r="2010" hidden="1" x14ac:dyDescent="0.3"/>
    <row r="2011" hidden="1" x14ac:dyDescent="0.3"/>
    <row r="2012" hidden="1" x14ac:dyDescent="0.3"/>
    <row r="2013" hidden="1" x14ac:dyDescent="0.3"/>
    <row r="2014" hidden="1" x14ac:dyDescent="0.3"/>
    <row r="2015" hidden="1" x14ac:dyDescent="0.3"/>
    <row r="2016" hidden="1" x14ac:dyDescent="0.3"/>
    <row r="2017" hidden="1" x14ac:dyDescent="0.3"/>
    <row r="2018" hidden="1" x14ac:dyDescent="0.3"/>
    <row r="2019" hidden="1" x14ac:dyDescent="0.3"/>
    <row r="2020" hidden="1" x14ac:dyDescent="0.3"/>
    <row r="2021" hidden="1" x14ac:dyDescent="0.3"/>
    <row r="2022" hidden="1" x14ac:dyDescent="0.3"/>
    <row r="2023" hidden="1" x14ac:dyDescent="0.3"/>
    <row r="2024" hidden="1" x14ac:dyDescent="0.3"/>
    <row r="2025" hidden="1" x14ac:dyDescent="0.3"/>
    <row r="2026" hidden="1" x14ac:dyDescent="0.3"/>
    <row r="2027" hidden="1" x14ac:dyDescent="0.3"/>
    <row r="2028" hidden="1" x14ac:dyDescent="0.3"/>
    <row r="2029" hidden="1" x14ac:dyDescent="0.3"/>
    <row r="2030" hidden="1" x14ac:dyDescent="0.3"/>
    <row r="2031" hidden="1" x14ac:dyDescent="0.3"/>
    <row r="2032" hidden="1" x14ac:dyDescent="0.3"/>
    <row r="2033" hidden="1" x14ac:dyDescent="0.3"/>
    <row r="2034" hidden="1" x14ac:dyDescent="0.3"/>
    <row r="2035" hidden="1" x14ac:dyDescent="0.3"/>
    <row r="2036" hidden="1" x14ac:dyDescent="0.3"/>
    <row r="2037" hidden="1" x14ac:dyDescent="0.3"/>
    <row r="2038" hidden="1" x14ac:dyDescent="0.3"/>
    <row r="2039" hidden="1" x14ac:dyDescent="0.3"/>
    <row r="2040" hidden="1" x14ac:dyDescent="0.3"/>
    <row r="2041" hidden="1" x14ac:dyDescent="0.3"/>
    <row r="2042" hidden="1" x14ac:dyDescent="0.3"/>
    <row r="2043" hidden="1" x14ac:dyDescent="0.3"/>
    <row r="2044" hidden="1" x14ac:dyDescent="0.3"/>
    <row r="2045" hidden="1" x14ac:dyDescent="0.3"/>
    <row r="2046" hidden="1" x14ac:dyDescent="0.3"/>
    <row r="2047" hidden="1" x14ac:dyDescent="0.3"/>
    <row r="2048" hidden="1" x14ac:dyDescent="0.3"/>
    <row r="2049" hidden="1" x14ac:dyDescent="0.3"/>
    <row r="2050" hidden="1" x14ac:dyDescent="0.3"/>
    <row r="2051" hidden="1" x14ac:dyDescent="0.3"/>
    <row r="2052" hidden="1" x14ac:dyDescent="0.3"/>
    <row r="2053" hidden="1" x14ac:dyDescent="0.3"/>
    <row r="2054" hidden="1" x14ac:dyDescent="0.3"/>
    <row r="2055" hidden="1" x14ac:dyDescent="0.3"/>
    <row r="2056" hidden="1" x14ac:dyDescent="0.3"/>
    <row r="2057" hidden="1" x14ac:dyDescent="0.3"/>
    <row r="2058" hidden="1" x14ac:dyDescent="0.3"/>
    <row r="2059" hidden="1" x14ac:dyDescent="0.3"/>
    <row r="2060" hidden="1" x14ac:dyDescent="0.3"/>
    <row r="2061" hidden="1" x14ac:dyDescent="0.3"/>
    <row r="2062" hidden="1" x14ac:dyDescent="0.3"/>
    <row r="2063" hidden="1" x14ac:dyDescent="0.3"/>
    <row r="2064" hidden="1" x14ac:dyDescent="0.3"/>
    <row r="2065" hidden="1" x14ac:dyDescent="0.3"/>
    <row r="2066" hidden="1" x14ac:dyDescent="0.3"/>
    <row r="2067" hidden="1" x14ac:dyDescent="0.3"/>
    <row r="2068" hidden="1" x14ac:dyDescent="0.3"/>
    <row r="2069" hidden="1" x14ac:dyDescent="0.3"/>
    <row r="2070" hidden="1" x14ac:dyDescent="0.3"/>
    <row r="2071" hidden="1" x14ac:dyDescent="0.3"/>
    <row r="2072" hidden="1" x14ac:dyDescent="0.3"/>
    <row r="2073" hidden="1" x14ac:dyDescent="0.3"/>
    <row r="2074" hidden="1" x14ac:dyDescent="0.3"/>
    <row r="2075" hidden="1" x14ac:dyDescent="0.3"/>
    <row r="2076" hidden="1" x14ac:dyDescent="0.3"/>
    <row r="2077" hidden="1" x14ac:dyDescent="0.3"/>
    <row r="2078" hidden="1" x14ac:dyDescent="0.3"/>
    <row r="2079" hidden="1" x14ac:dyDescent="0.3"/>
    <row r="2080" hidden="1" x14ac:dyDescent="0.3"/>
    <row r="2081" hidden="1" x14ac:dyDescent="0.3"/>
    <row r="2082" hidden="1" x14ac:dyDescent="0.3"/>
    <row r="2083" hidden="1" x14ac:dyDescent="0.3"/>
    <row r="2084" hidden="1" x14ac:dyDescent="0.3"/>
    <row r="2085" hidden="1" x14ac:dyDescent="0.3"/>
    <row r="2086" hidden="1" x14ac:dyDescent="0.3"/>
    <row r="2087" hidden="1" x14ac:dyDescent="0.3"/>
    <row r="2088" hidden="1" x14ac:dyDescent="0.3"/>
    <row r="2089" hidden="1" x14ac:dyDescent="0.3"/>
    <row r="2090" hidden="1" x14ac:dyDescent="0.3"/>
    <row r="2091" hidden="1" x14ac:dyDescent="0.3"/>
    <row r="2092" hidden="1" x14ac:dyDescent="0.3"/>
    <row r="2093" hidden="1" x14ac:dyDescent="0.3"/>
    <row r="2094" hidden="1" x14ac:dyDescent="0.3"/>
    <row r="2095" hidden="1" x14ac:dyDescent="0.3"/>
    <row r="2096" hidden="1" x14ac:dyDescent="0.3"/>
    <row r="2097" hidden="1" x14ac:dyDescent="0.3"/>
    <row r="2098" hidden="1" x14ac:dyDescent="0.3"/>
    <row r="2099" hidden="1" x14ac:dyDescent="0.3"/>
    <row r="2100" hidden="1" x14ac:dyDescent="0.3"/>
    <row r="2101" hidden="1" x14ac:dyDescent="0.3"/>
    <row r="2102" hidden="1" x14ac:dyDescent="0.3"/>
    <row r="2103" hidden="1" x14ac:dyDescent="0.3"/>
    <row r="2104" hidden="1" x14ac:dyDescent="0.3"/>
    <row r="2105" hidden="1" x14ac:dyDescent="0.3"/>
    <row r="2106" hidden="1" x14ac:dyDescent="0.3"/>
    <row r="2107" hidden="1" x14ac:dyDescent="0.3"/>
    <row r="2108" hidden="1" x14ac:dyDescent="0.3"/>
    <row r="2109" hidden="1" x14ac:dyDescent="0.3"/>
    <row r="2110" hidden="1" x14ac:dyDescent="0.3"/>
    <row r="2111" hidden="1" x14ac:dyDescent="0.3"/>
    <row r="2112" hidden="1" x14ac:dyDescent="0.3"/>
    <row r="2113" hidden="1" x14ac:dyDescent="0.3"/>
    <row r="2114" hidden="1" x14ac:dyDescent="0.3"/>
    <row r="2115" hidden="1" x14ac:dyDescent="0.3"/>
    <row r="2116" hidden="1" x14ac:dyDescent="0.3"/>
    <row r="2117" hidden="1" x14ac:dyDescent="0.3"/>
    <row r="2118" hidden="1" x14ac:dyDescent="0.3"/>
    <row r="2119" hidden="1" x14ac:dyDescent="0.3"/>
    <row r="2120" hidden="1" x14ac:dyDescent="0.3"/>
    <row r="2121" hidden="1" x14ac:dyDescent="0.3"/>
    <row r="2122" hidden="1" x14ac:dyDescent="0.3"/>
    <row r="2123" hidden="1" x14ac:dyDescent="0.3"/>
    <row r="2124" hidden="1" x14ac:dyDescent="0.3"/>
    <row r="2125" hidden="1" x14ac:dyDescent="0.3"/>
    <row r="2126" hidden="1" x14ac:dyDescent="0.3"/>
    <row r="2127" hidden="1" x14ac:dyDescent="0.3"/>
    <row r="2128" hidden="1" x14ac:dyDescent="0.3"/>
    <row r="2129" hidden="1" x14ac:dyDescent="0.3"/>
    <row r="2130" hidden="1" x14ac:dyDescent="0.3"/>
    <row r="2131" hidden="1" x14ac:dyDescent="0.3"/>
    <row r="2132" hidden="1" x14ac:dyDescent="0.3"/>
    <row r="2133" hidden="1" x14ac:dyDescent="0.3"/>
    <row r="2134" hidden="1" x14ac:dyDescent="0.3"/>
    <row r="2135" hidden="1" x14ac:dyDescent="0.3"/>
    <row r="2136" hidden="1" x14ac:dyDescent="0.3"/>
    <row r="2137" hidden="1" x14ac:dyDescent="0.3"/>
    <row r="2138" hidden="1" x14ac:dyDescent="0.3"/>
    <row r="2139" hidden="1" x14ac:dyDescent="0.3"/>
    <row r="2140" hidden="1" x14ac:dyDescent="0.3"/>
    <row r="2141" hidden="1" x14ac:dyDescent="0.3"/>
    <row r="2142" hidden="1" x14ac:dyDescent="0.3"/>
    <row r="2143" hidden="1" x14ac:dyDescent="0.3"/>
    <row r="2144" hidden="1" x14ac:dyDescent="0.3"/>
    <row r="2145" hidden="1" x14ac:dyDescent="0.3"/>
    <row r="2146" hidden="1" x14ac:dyDescent="0.3"/>
    <row r="2147" hidden="1" x14ac:dyDescent="0.3"/>
    <row r="2148" hidden="1" x14ac:dyDescent="0.3"/>
    <row r="2149" hidden="1" x14ac:dyDescent="0.3"/>
    <row r="2150" hidden="1" x14ac:dyDescent="0.3"/>
    <row r="2151" hidden="1" x14ac:dyDescent="0.3"/>
    <row r="2152" hidden="1" x14ac:dyDescent="0.3"/>
    <row r="2153" hidden="1" x14ac:dyDescent="0.3"/>
    <row r="2154" hidden="1" x14ac:dyDescent="0.3"/>
    <row r="2155" hidden="1" x14ac:dyDescent="0.3"/>
    <row r="2156" hidden="1" x14ac:dyDescent="0.3"/>
    <row r="2157" hidden="1" x14ac:dyDescent="0.3"/>
    <row r="2158" hidden="1" x14ac:dyDescent="0.3"/>
    <row r="2159" hidden="1" x14ac:dyDescent="0.3"/>
    <row r="2160" hidden="1" x14ac:dyDescent="0.3"/>
    <row r="2161" hidden="1" x14ac:dyDescent="0.3"/>
    <row r="2162" hidden="1" x14ac:dyDescent="0.3"/>
    <row r="2163" hidden="1" x14ac:dyDescent="0.3"/>
    <row r="2164" hidden="1" x14ac:dyDescent="0.3"/>
    <row r="2165" hidden="1" x14ac:dyDescent="0.3"/>
    <row r="2166" hidden="1" x14ac:dyDescent="0.3"/>
    <row r="2167" hidden="1" x14ac:dyDescent="0.3"/>
    <row r="2168" hidden="1" x14ac:dyDescent="0.3"/>
    <row r="2169" hidden="1" x14ac:dyDescent="0.3"/>
    <row r="2170" hidden="1" x14ac:dyDescent="0.3"/>
    <row r="2171" hidden="1" x14ac:dyDescent="0.3"/>
    <row r="2172" hidden="1" x14ac:dyDescent="0.3"/>
    <row r="2173" hidden="1" x14ac:dyDescent="0.3"/>
    <row r="2174" hidden="1" x14ac:dyDescent="0.3"/>
    <row r="2175" hidden="1" x14ac:dyDescent="0.3"/>
    <row r="2176" hidden="1" x14ac:dyDescent="0.3"/>
    <row r="2177" hidden="1" x14ac:dyDescent="0.3"/>
    <row r="2178" hidden="1" x14ac:dyDescent="0.3"/>
    <row r="2179" hidden="1" x14ac:dyDescent="0.3"/>
    <row r="2180" hidden="1" x14ac:dyDescent="0.3"/>
    <row r="2181" hidden="1" x14ac:dyDescent="0.3"/>
    <row r="2182" hidden="1" x14ac:dyDescent="0.3"/>
    <row r="2183" hidden="1" x14ac:dyDescent="0.3"/>
    <row r="2184" hidden="1" x14ac:dyDescent="0.3"/>
    <row r="2185" hidden="1" x14ac:dyDescent="0.3"/>
    <row r="2186" hidden="1" x14ac:dyDescent="0.3"/>
    <row r="2187" hidden="1" x14ac:dyDescent="0.3"/>
    <row r="2188" hidden="1" x14ac:dyDescent="0.3"/>
    <row r="2189" hidden="1" x14ac:dyDescent="0.3"/>
    <row r="2190" hidden="1" x14ac:dyDescent="0.3"/>
    <row r="2191" hidden="1" x14ac:dyDescent="0.3"/>
    <row r="2192" hidden="1" x14ac:dyDescent="0.3"/>
    <row r="2193" hidden="1" x14ac:dyDescent="0.3"/>
    <row r="2194" hidden="1" x14ac:dyDescent="0.3"/>
    <row r="2195" hidden="1" x14ac:dyDescent="0.3"/>
    <row r="2196" hidden="1" x14ac:dyDescent="0.3"/>
    <row r="2197" hidden="1" x14ac:dyDescent="0.3"/>
    <row r="2198" hidden="1" x14ac:dyDescent="0.3"/>
    <row r="2199" hidden="1" x14ac:dyDescent="0.3"/>
    <row r="2200" hidden="1" x14ac:dyDescent="0.3"/>
    <row r="2201" hidden="1" x14ac:dyDescent="0.3"/>
    <row r="2202" hidden="1" x14ac:dyDescent="0.3"/>
    <row r="2203" hidden="1" x14ac:dyDescent="0.3"/>
    <row r="2204" hidden="1" x14ac:dyDescent="0.3"/>
    <row r="2205" hidden="1" x14ac:dyDescent="0.3"/>
    <row r="2206" hidden="1" x14ac:dyDescent="0.3"/>
    <row r="2207" hidden="1" x14ac:dyDescent="0.3"/>
    <row r="2208" hidden="1" x14ac:dyDescent="0.3"/>
    <row r="2209" hidden="1" x14ac:dyDescent="0.3"/>
    <row r="2210" hidden="1" x14ac:dyDescent="0.3"/>
    <row r="2211" hidden="1" x14ac:dyDescent="0.3"/>
    <row r="2212" hidden="1" x14ac:dyDescent="0.3"/>
    <row r="2213" hidden="1" x14ac:dyDescent="0.3"/>
    <row r="2214" hidden="1" x14ac:dyDescent="0.3"/>
    <row r="2215" hidden="1" x14ac:dyDescent="0.3"/>
    <row r="2216" hidden="1" x14ac:dyDescent="0.3"/>
    <row r="2217" hidden="1" x14ac:dyDescent="0.3"/>
    <row r="2218" hidden="1" x14ac:dyDescent="0.3"/>
    <row r="2219" hidden="1" x14ac:dyDescent="0.3"/>
    <row r="2220" hidden="1" x14ac:dyDescent="0.3"/>
    <row r="2221" hidden="1" x14ac:dyDescent="0.3"/>
    <row r="2222" hidden="1" x14ac:dyDescent="0.3"/>
    <row r="2223" hidden="1" x14ac:dyDescent="0.3"/>
    <row r="2224" hidden="1" x14ac:dyDescent="0.3"/>
    <row r="2225" hidden="1" x14ac:dyDescent="0.3"/>
    <row r="2226" hidden="1" x14ac:dyDescent="0.3"/>
    <row r="2227" hidden="1" x14ac:dyDescent="0.3"/>
    <row r="2228" hidden="1" x14ac:dyDescent="0.3"/>
    <row r="2229" hidden="1" x14ac:dyDescent="0.3"/>
    <row r="2230" hidden="1" x14ac:dyDescent="0.3"/>
    <row r="2231" hidden="1" x14ac:dyDescent="0.3"/>
    <row r="2232" hidden="1" x14ac:dyDescent="0.3"/>
    <row r="2233" hidden="1" x14ac:dyDescent="0.3"/>
    <row r="2234" hidden="1" x14ac:dyDescent="0.3"/>
    <row r="2235" hidden="1" x14ac:dyDescent="0.3"/>
    <row r="2236" hidden="1" x14ac:dyDescent="0.3"/>
    <row r="2237" hidden="1" x14ac:dyDescent="0.3"/>
    <row r="2238" hidden="1" x14ac:dyDescent="0.3"/>
    <row r="2239" hidden="1" x14ac:dyDescent="0.3"/>
    <row r="2240" hidden="1" x14ac:dyDescent="0.3"/>
    <row r="2241" hidden="1" x14ac:dyDescent="0.3"/>
    <row r="2242" hidden="1" x14ac:dyDescent="0.3"/>
    <row r="2243" hidden="1" x14ac:dyDescent="0.3"/>
    <row r="2244" hidden="1" x14ac:dyDescent="0.3"/>
    <row r="2245" hidden="1" x14ac:dyDescent="0.3"/>
    <row r="2246" hidden="1" x14ac:dyDescent="0.3"/>
    <row r="2247" hidden="1" x14ac:dyDescent="0.3"/>
    <row r="2248" hidden="1" x14ac:dyDescent="0.3"/>
    <row r="2249" hidden="1" x14ac:dyDescent="0.3"/>
    <row r="2250" hidden="1" x14ac:dyDescent="0.3"/>
    <row r="2251" hidden="1" x14ac:dyDescent="0.3"/>
    <row r="2252" hidden="1" x14ac:dyDescent="0.3"/>
    <row r="2253" hidden="1" x14ac:dyDescent="0.3"/>
    <row r="2254" hidden="1" x14ac:dyDescent="0.3"/>
    <row r="2255" hidden="1" x14ac:dyDescent="0.3"/>
    <row r="2256" hidden="1" x14ac:dyDescent="0.3"/>
    <row r="2257" hidden="1" x14ac:dyDescent="0.3"/>
    <row r="2258" hidden="1" x14ac:dyDescent="0.3"/>
    <row r="2259" hidden="1" x14ac:dyDescent="0.3"/>
    <row r="2260" hidden="1" x14ac:dyDescent="0.3"/>
    <row r="2261" hidden="1" x14ac:dyDescent="0.3"/>
    <row r="2262" hidden="1" x14ac:dyDescent="0.3"/>
    <row r="2263" hidden="1" x14ac:dyDescent="0.3"/>
    <row r="2264" hidden="1" x14ac:dyDescent="0.3"/>
    <row r="2265" hidden="1" x14ac:dyDescent="0.3"/>
    <row r="2266" hidden="1" x14ac:dyDescent="0.3"/>
    <row r="2267" hidden="1" x14ac:dyDescent="0.3"/>
    <row r="2268" hidden="1" x14ac:dyDescent="0.3"/>
    <row r="2269" hidden="1" x14ac:dyDescent="0.3"/>
    <row r="2270" hidden="1" x14ac:dyDescent="0.3"/>
    <row r="2271" hidden="1" x14ac:dyDescent="0.3"/>
    <row r="2272" hidden="1" x14ac:dyDescent="0.3"/>
    <row r="2273" hidden="1" x14ac:dyDescent="0.3"/>
    <row r="2274" hidden="1" x14ac:dyDescent="0.3"/>
    <row r="2275" hidden="1" x14ac:dyDescent="0.3"/>
    <row r="2276" hidden="1" x14ac:dyDescent="0.3"/>
    <row r="2277" hidden="1" x14ac:dyDescent="0.3"/>
    <row r="2278" hidden="1" x14ac:dyDescent="0.3"/>
    <row r="2279" hidden="1" x14ac:dyDescent="0.3"/>
    <row r="2280" hidden="1" x14ac:dyDescent="0.3"/>
    <row r="2281" hidden="1" x14ac:dyDescent="0.3"/>
    <row r="2282" hidden="1" x14ac:dyDescent="0.3"/>
    <row r="2283" hidden="1" x14ac:dyDescent="0.3"/>
    <row r="2284" hidden="1" x14ac:dyDescent="0.3"/>
    <row r="2285" hidden="1" x14ac:dyDescent="0.3"/>
    <row r="2286" hidden="1" x14ac:dyDescent="0.3"/>
    <row r="2287" hidden="1" x14ac:dyDescent="0.3"/>
    <row r="2288" hidden="1" x14ac:dyDescent="0.3"/>
    <row r="2289" hidden="1" x14ac:dyDescent="0.3"/>
    <row r="2290" hidden="1" x14ac:dyDescent="0.3"/>
    <row r="2291" hidden="1" x14ac:dyDescent="0.3"/>
    <row r="2292" hidden="1" x14ac:dyDescent="0.3"/>
    <row r="2293" hidden="1" x14ac:dyDescent="0.3"/>
    <row r="2294" hidden="1" x14ac:dyDescent="0.3"/>
    <row r="2295" hidden="1" x14ac:dyDescent="0.3"/>
    <row r="2296" hidden="1" x14ac:dyDescent="0.3"/>
    <row r="2297" hidden="1" x14ac:dyDescent="0.3"/>
    <row r="2298" hidden="1" x14ac:dyDescent="0.3"/>
    <row r="2299" hidden="1" x14ac:dyDescent="0.3"/>
    <row r="2300" hidden="1" x14ac:dyDescent="0.3"/>
    <row r="2301" hidden="1" x14ac:dyDescent="0.3"/>
    <row r="2302" hidden="1" x14ac:dyDescent="0.3"/>
    <row r="2303" hidden="1" x14ac:dyDescent="0.3"/>
    <row r="2304" hidden="1" x14ac:dyDescent="0.3"/>
    <row r="2305" hidden="1" x14ac:dyDescent="0.3"/>
    <row r="2306" hidden="1" x14ac:dyDescent="0.3"/>
    <row r="2307" hidden="1" x14ac:dyDescent="0.3"/>
    <row r="2308" hidden="1" x14ac:dyDescent="0.3"/>
    <row r="2309" hidden="1" x14ac:dyDescent="0.3"/>
    <row r="2310" hidden="1" x14ac:dyDescent="0.3"/>
    <row r="2311" hidden="1" x14ac:dyDescent="0.3"/>
    <row r="2312" hidden="1" x14ac:dyDescent="0.3"/>
    <row r="2313" hidden="1" x14ac:dyDescent="0.3"/>
    <row r="2314" hidden="1" x14ac:dyDescent="0.3"/>
    <row r="2315" hidden="1" x14ac:dyDescent="0.3"/>
    <row r="2316" hidden="1" x14ac:dyDescent="0.3"/>
    <row r="2317" hidden="1" x14ac:dyDescent="0.3"/>
    <row r="2318" hidden="1" x14ac:dyDescent="0.3"/>
    <row r="2319" hidden="1" x14ac:dyDescent="0.3"/>
    <row r="2320" hidden="1" x14ac:dyDescent="0.3"/>
    <row r="2321" hidden="1" x14ac:dyDescent="0.3"/>
    <row r="2322" hidden="1" x14ac:dyDescent="0.3"/>
    <row r="2323" hidden="1" x14ac:dyDescent="0.3"/>
    <row r="2324" hidden="1" x14ac:dyDescent="0.3"/>
    <row r="2325" hidden="1" x14ac:dyDescent="0.3"/>
    <row r="2326" hidden="1" x14ac:dyDescent="0.3"/>
    <row r="2327" hidden="1" x14ac:dyDescent="0.3"/>
    <row r="2328" hidden="1" x14ac:dyDescent="0.3"/>
    <row r="2329" hidden="1" x14ac:dyDescent="0.3"/>
    <row r="2330" hidden="1" x14ac:dyDescent="0.3"/>
    <row r="2331" hidden="1" x14ac:dyDescent="0.3"/>
    <row r="2332" hidden="1" x14ac:dyDescent="0.3"/>
    <row r="2333" hidden="1" x14ac:dyDescent="0.3"/>
    <row r="2334" hidden="1" x14ac:dyDescent="0.3"/>
    <row r="2335" hidden="1" x14ac:dyDescent="0.3"/>
    <row r="2336" hidden="1" x14ac:dyDescent="0.3"/>
    <row r="2337" hidden="1" x14ac:dyDescent="0.3"/>
    <row r="2338" hidden="1" x14ac:dyDescent="0.3"/>
    <row r="2339" hidden="1" x14ac:dyDescent="0.3"/>
    <row r="2340" hidden="1" x14ac:dyDescent="0.3"/>
    <row r="2341" hidden="1" x14ac:dyDescent="0.3"/>
    <row r="2342" hidden="1" x14ac:dyDescent="0.3"/>
    <row r="2343" hidden="1" x14ac:dyDescent="0.3"/>
    <row r="2344" hidden="1" x14ac:dyDescent="0.3"/>
    <row r="2345" hidden="1" x14ac:dyDescent="0.3"/>
    <row r="2346" hidden="1" x14ac:dyDescent="0.3"/>
    <row r="2347" hidden="1" x14ac:dyDescent="0.3"/>
    <row r="2348" hidden="1" x14ac:dyDescent="0.3"/>
    <row r="2349" hidden="1" x14ac:dyDescent="0.3"/>
    <row r="2350" hidden="1" x14ac:dyDescent="0.3"/>
    <row r="2351" hidden="1" x14ac:dyDescent="0.3"/>
    <row r="2352" hidden="1" x14ac:dyDescent="0.3"/>
    <row r="2353" hidden="1" x14ac:dyDescent="0.3"/>
    <row r="2354" hidden="1" x14ac:dyDescent="0.3"/>
    <row r="2355" hidden="1" x14ac:dyDescent="0.3"/>
    <row r="2356" hidden="1" x14ac:dyDescent="0.3"/>
    <row r="2357" hidden="1" x14ac:dyDescent="0.3"/>
    <row r="2358" hidden="1" x14ac:dyDescent="0.3"/>
    <row r="2359" hidden="1" x14ac:dyDescent="0.3"/>
    <row r="2360" hidden="1" x14ac:dyDescent="0.3"/>
    <row r="2361" hidden="1" x14ac:dyDescent="0.3"/>
    <row r="2362" hidden="1" x14ac:dyDescent="0.3"/>
    <row r="2363" hidden="1" x14ac:dyDescent="0.3"/>
    <row r="2364" hidden="1" x14ac:dyDescent="0.3"/>
    <row r="2365" hidden="1" x14ac:dyDescent="0.3"/>
    <row r="2366" hidden="1" x14ac:dyDescent="0.3"/>
    <row r="2367" hidden="1" x14ac:dyDescent="0.3"/>
    <row r="2368" hidden="1" x14ac:dyDescent="0.3"/>
    <row r="2369" hidden="1" x14ac:dyDescent="0.3"/>
    <row r="2370" hidden="1" x14ac:dyDescent="0.3"/>
    <row r="2371" hidden="1" x14ac:dyDescent="0.3"/>
    <row r="2372" hidden="1" x14ac:dyDescent="0.3"/>
    <row r="2373" hidden="1" x14ac:dyDescent="0.3"/>
    <row r="2374" hidden="1" x14ac:dyDescent="0.3"/>
    <row r="2375" hidden="1" x14ac:dyDescent="0.3"/>
    <row r="2376" hidden="1" x14ac:dyDescent="0.3"/>
    <row r="2377" hidden="1" x14ac:dyDescent="0.3"/>
    <row r="2378" hidden="1" x14ac:dyDescent="0.3"/>
    <row r="2379" hidden="1" x14ac:dyDescent="0.3"/>
    <row r="2380" hidden="1" x14ac:dyDescent="0.3"/>
    <row r="2381" hidden="1" x14ac:dyDescent="0.3"/>
    <row r="2382" hidden="1" x14ac:dyDescent="0.3"/>
    <row r="2383" hidden="1" x14ac:dyDescent="0.3"/>
    <row r="2384" hidden="1" x14ac:dyDescent="0.3"/>
    <row r="2385" hidden="1" x14ac:dyDescent="0.3"/>
    <row r="2386" hidden="1" x14ac:dyDescent="0.3"/>
    <row r="2387" hidden="1" x14ac:dyDescent="0.3"/>
    <row r="2388" hidden="1" x14ac:dyDescent="0.3"/>
    <row r="2389" hidden="1" x14ac:dyDescent="0.3"/>
    <row r="2390" hidden="1" x14ac:dyDescent="0.3"/>
    <row r="2391" hidden="1" x14ac:dyDescent="0.3"/>
    <row r="2392" hidden="1" x14ac:dyDescent="0.3"/>
    <row r="2393" hidden="1" x14ac:dyDescent="0.3"/>
    <row r="2394" hidden="1" x14ac:dyDescent="0.3"/>
    <row r="2395" hidden="1" x14ac:dyDescent="0.3"/>
    <row r="2396" hidden="1" x14ac:dyDescent="0.3"/>
    <row r="2397" hidden="1" x14ac:dyDescent="0.3"/>
    <row r="2398" hidden="1" x14ac:dyDescent="0.3"/>
    <row r="2399" hidden="1" x14ac:dyDescent="0.3"/>
    <row r="2400" hidden="1" x14ac:dyDescent="0.3"/>
    <row r="2401" hidden="1" x14ac:dyDescent="0.3"/>
    <row r="2402" hidden="1" x14ac:dyDescent="0.3"/>
    <row r="2403" hidden="1" x14ac:dyDescent="0.3"/>
    <row r="2404" hidden="1" x14ac:dyDescent="0.3"/>
    <row r="2405" hidden="1" x14ac:dyDescent="0.3"/>
    <row r="2406" hidden="1" x14ac:dyDescent="0.3"/>
    <row r="2407" hidden="1" x14ac:dyDescent="0.3"/>
    <row r="2408" hidden="1" x14ac:dyDescent="0.3"/>
    <row r="2409" hidden="1" x14ac:dyDescent="0.3"/>
    <row r="2410" hidden="1" x14ac:dyDescent="0.3"/>
    <row r="2411" hidden="1" x14ac:dyDescent="0.3"/>
    <row r="2412" hidden="1" x14ac:dyDescent="0.3"/>
    <row r="2413" hidden="1" x14ac:dyDescent="0.3"/>
    <row r="2414" hidden="1" x14ac:dyDescent="0.3"/>
    <row r="2415" hidden="1" x14ac:dyDescent="0.3"/>
    <row r="2416" hidden="1" x14ac:dyDescent="0.3"/>
    <row r="2417" hidden="1" x14ac:dyDescent="0.3"/>
    <row r="2418" hidden="1" x14ac:dyDescent="0.3"/>
    <row r="2419" hidden="1" x14ac:dyDescent="0.3"/>
    <row r="2420" hidden="1" x14ac:dyDescent="0.3"/>
    <row r="2421" hidden="1" x14ac:dyDescent="0.3"/>
    <row r="2422" hidden="1" x14ac:dyDescent="0.3"/>
    <row r="2423" hidden="1" x14ac:dyDescent="0.3"/>
    <row r="2424" hidden="1" x14ac:dyDescent="0.3"/>
    <row r="2425" hidden="1" x14ac:dyDescent="0.3"/>
    <row r="2426" hidden="1" x14ac:dyDescent="0.3"/>
    <row r="2427" hidden="1" x14ac:dyDescent="0.3"/>
    <row r="2428" hidden="1" x14ac:dyDescent="0.3"/>
    <row r="2429" hidden="1" x14ac:dyDescent="0.3"/>
    <row r="2430" hidden="1" x14ac:dyDescent="0.3"/>
    <row r="2431" hidden="1" x14ac:dyDescent="0.3"/>
    <row r="2432" hidden="1" x14ac:dyDescent="0.3"/>
    <row r="2433" hidden="1" x14ac:dyDescent="0.3"/>
    <row r="2434" hidden="1" x14ac:dyDescent="0.3"/>
    <row r="2435" hidden="1" x14ac:dyDescent="0.3"/>
    <row r="2436" hidden="1" x14ac:dyDescent="0.3"/>
    <row r="2437" hidden="1" x14ac:dyDescent="0.3"/>
    <row r="2438" hidden="1" x14ac:dyDescent="0.3"/>
    <row r="2439" hidden="1" x14ac:dyDescent="0.3"/>
    <row r="2440" hidden="1" x14ac:dyDescent="0.3"/>
    <row r="2441" hidden="1" x14ac:dyDescent="0.3"/>
    <row r="2442" hidden="1" x14ac:dyDescent="0.3"/>
    <row r="2443" hidden="1" x14ac:dyDescent="0.3"/>
    <row r="2444" hidden="1" x14ac:dyDescent="0.3"/>
    <row r="2445" hidden="1" x14ac:dyDescent="0.3"/>
    <row r="2446" hidden="1" x14ac:dyDescent="0.3"/>
    <row r="2447" hidden="1" x14ac:dyDescent="0.3"/>
    <row r="2448" hidden="1" x14ac:dyDescent="0.3"/>
    <row r="2449" hidden="1" x14ac:dyDescent="0.3"/>
    <row r="2450" hidden="1" x14ac:dyDescent="0.3"/>
    <row r="2451" hidden="1" x14ac:dyDescent="0.3"/>
    <row r="2452" hidden="1" x14ac:dyDescent="0.3"/>
    <row r="2453" hidden="1" x14ac:dyDescent="0.3"/>
    <row r="2454" hidden="1" x14ac:dyDescent="0.3"/>
    <row r="2455" hidden="1" x14ac:dyDescent="0.3"/>
    <row r="2456" hidden="1" x14ac:dyDescent="0.3"/>
    <row r="2457" hidden="1" x14ac:dyDescent="0.3"/>
    <row r="2458" hidden="1" x14ac:dyDescent="0.3"/>
    <row r="2459" hidden="1" x14ac:dyDescent="0.3"/>
    <row r="2460" hidden="1" x14ac:dyDescent="0.3"/>
    <row r="2461" hidden="1" x14ac:dyDescent="0.3"/>
    <row r="2462" hidden="1" x14ac:dyDescent="0.3"/>
    <row r="2463" hidden="1" x14ac:dyDescent="0.3"/>
    <row r="2464" hidden="1" x14ac:dyDescent="0.3"/>
    <row r="2465" hidden="1" x14ac:dyDescent="0.3"/>
    <row r="2466" hidden="1" x14ac:dyDescent="0.3"/>
    <row r="2467" hidden="1" x14ac:dyDescent="0.3"/>
    <row r="2468" hidden="1" x14ac:dyDescent="0.3"/>
    <row r="2469" hidden="1" x14ac:dyDescent="0.3"/>
    <row r="2470" hidden="1" x14ac:dyDescent="0.3"/>
    <row r="2471" hidden="1" x14ac:dyDescent="0.3"/>
    <row r="2472" hidden="1" x14ac:dyDescent="0.3"/>
    <row r="2473" hidden="1" x14ac:dyDescent="0.3"/>
    <row r="2474" hidden="1" x14ac:dyDescent="0.3"/>
    <row r="2475" hidden="1" x14ac:dyDescent="0.3"/>
    <row r="2476" hidden="1" x14ac:dyDescent="0.3"/>
    <row r="2477" hidden="1" x14ac:dyDescent="0.3"/>
    <row r="2478" hidden="1" x14ac:dyDescent="0.3"/>
    <row r="2479" hidden="1" x14ac:dyDescent="0.3"/>
    <row r="2480" hidden="1" x14ac:dyDescent="0.3"/>
    <row r="2481" hidden="1" x14ac:dyDescent="0.3"/>
    <row r="2482" hidden="1" x14ac:dyDescent="0.3"/>
    <row r="2483" hidden="1" x14ac:dyDescent="0.3"/>
    <row r="2484" hidden="1" x14ac:dyDescent="0.3"/>
    <row r="2485" hidden="1" x14ac:dyDescent="0.3"/>
    <row r="2486" hidden="1" x14ac:dyDescent="0.3"/>
    <row r="2487" hidden="1" x14ac:dyDescent="0.3"/>
    <row r="2488" hidden="1" x14ac:dyDescent="0.3"/>
    <row r="2489" hidden="1" x14ac:dyDescent="0.3"/>
    <row r="2490" hidden="1" x14ac:dyDescent="0.3"/>
    <row r="2491" hidden="1" x14ac:dyDescent="0.3"/>
    <row r="2492" hidden="1" x14ac:dyDescent="0.3"/>
    <row r="2493" hidden="1" x14ac:dyDescent="0.3"/>
    <row r="2494" hidden="1" x14ac:dyDescent="0.3"/>
    <row r="2495" hidden="1" x14ac:dyDescent="0.3"/>
    <row r="2496" hidden="1" x14ac:dyDescent="0.3"/>
    <row r="2497" hidden="1" x14ac:dyDescent="0.3"/>
    <row r="2498" hidden="1" x14ac:dyDescent="0.3"/>
    <row r="2499" hidden="1" x14ac:dyDescent="0.3"/>
    <row r="2500" hidden="1" x14ac:dyDescent="0.3"/>
    <row r="2501" hidden="1" x14ac:dyDescent="0.3"/>
    <row r="2502" hidden="1" x14ac:dyDescent="0.3"/>
    <row r="2503" hidden="1" x14ac:dyDescent="0.3"/>
    <row r="2504" hidden="1" x14ac:dyDescent="0.3"/>
    <row r="2505" hidden="1" x14ac:dyDescent="0.3"/>
    <row r="2506" hidden="1" x14ac:dyDescent="0.3"/>
    <row r="2507" hidden="1" x14ac:dyDescent="0.3"/>
    <row r="2508" hidden="1" x14ac:dyDescent="0.3"/>
    <row r="2509" hidden="1" x14ac:dyDescent="0.3"/>
    <row r="2510" hidden="1" x14ac:dyDescent="0.3"/>
    <row r="2511" hidden="1" x14ac:dyDescent="0.3"/>
    <row r="2512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hidden="1" x14ac:dyDescent="0.3"/>
    <row r="2530" hidden="1" x14ac:dyDescent="0.3"/>
    <row r="2531" hidden="1" x14ac:dyDescent="0.3"/>
    <row r="2532" hidden="1" x14ac:dyDescent="0.3"/>
    <row r="2533" hidden="1" x14ac:dyDescent="0.3"/>
    <row r="2534" hidden="1" x14ac:dyDescent="0.3"/>
    <row r="2535" hidden="1" x14ac:dyDescent="0.3"/>
    <row r="2536" hidden="1" x14ac:dyDescent="0.3"/>
    <row r="2537" hidden="1" x14ac:dyDescent="0.3"/>
    <row r="2538" hidden="1" x14ac:dyDescent="0.3"/>
    <row r="2539" hidden="1" x14ac:dyDescent="0.3"/>
    <row r="2540" hidden="1" x14ac:dyDescent="0.3"/>
    <row r="2541" hidden="1" x14ac:dyDescent="0.3"/>
    <row r="2542" hidden="1" x14ac:dyDescent="0.3"/>
    <row r="2543" hidden="1" x14ac:dyDescent="0.3"/>
    <row r="2544" hidden="1" x14ac:dyDescent="0.3"/>
    <row r="2545" hidden="1" x14ac:dyDescent="0.3"/>
    <row r="2546" hidden="1" x14ac:dyDescent="0.3"/>
    <row r="2547" hidden="1" x14ac:dyDescent="0.3"/>
    <row r="2548" hidden="1" x14ac:dyDescent="0.3"/>
    <row r="2549" hidden="1" x14ac:dyDescent="0.3"/>
    <row r="2550" hidden="1" x14ac:dyDescent="0.3"/>
    <row r="2551" hidden="1" x14ac:dyDescent="0.3"/>
    <row r="2552" hidden="1" x14ac:dyDescent="0.3"/>
    <row r="2553" hidden="1" x14ac:dyDescent="0.3"/>
    <row r="2554" hidden="1" x14ac:dyDescent="0.3"/>
    <row r="2555" hidden="1" x14ac:dyDescent="0.3"/>
    <row r="2556" hidden="1" x14ac:dyDescent="0.3"/>
    <row r="2557" hidden="1" x14ac:dyDescent="0.3"/>
    <row r="2558" hidden="1" x14ac:dyDescent="0.3"/>
    <row r="2559" hidden="1" x14ac:dyDescent="0.3"/>
    <row r="2560" hidden="1" x14ac:dyDescent="0.3"/>
    <row r="2561" hidden="1" x14ac:dyDescent="0.3"/>
    <row r="2562" hidden="1" x14ac:dyDescent="0.3"/>
    <row r="2563" hidden="1" x14ac:dyDescent="0.3"/>
    <row r="2564" hidden="1" x14ac:dyDescent="0.3"/>
    <row r="2565" hidden="1" x14ac:dyDescent="0.3"/>
    <row r="2566" hidden="1" x14ac:dyDescent="0.3"/>
    <row r="2567" hidden="1" x14ac:dyDescent="0.3"/>
    <row r="2568" hidden="1" x14ac:dyDescent="0.3"/>
    <row r="2569" hidden="1" x14ac:dyDescent="0.3"/>
    <row r="2570" hidden="1" x14ac:dyDescent="0.3"/>
    <row r="2571" hidden="1" x14ac:dyDescent="0.3"/>
    <row r="2572" hidden="1" x14ac:dyDescent="0.3"/>
    <row r="2573" hidden="1" x14ac:dyDescent="0.3"/>
    <row r="2574" hidden="1" x14ac:dyDescent="0.3"/>
    <row r="2575" hidden="1" x14ac:dyDescent="0.3"/>
    <row r="2576" hidden="1" x14ac:dyDescent="0.3"/>
    <row r="2577" hidden="1" x14ac:dyDescent="0.3"/>
    <row r="2578" hidden="1" x14ac:dyDescent="0.3"/>
    <row r="2579" hidden="1" x14ac:dyDescent="0.3"/>
    <row r="2580" hidden="1" x14ac:dyDescent="0.3"/>
    <row r="2581" hidden="1" x14ac:dyDescent="0.3"/>
    <row r="2582" hidden="1" x14ac:dyDescent="0.3"/>
    <row r="2583" hidden="1" x14ac:dyDescent="0.3"/>
    <row r="2584" hidden="1" x14ac:dyDescent="0.3"/>
    <row r="2585" hidden="1" x14ac:dyDescent="0.3"/>
    <row r="2586" hidden="1" x14ac:dyDescent="0.3"/>
    <row r="2587" hidden="1" x14ac:dyDescent="0.3"/>
    <row r="2588" hidden="1" x14ac:dyDescent="0.3"/>
    <row r="2589" hidden="1" x14ac:dyDescent="0.3"/>
    <row r="2590" hidden="1" x14ac:dyDescent="0.3"/>
    <row r="2591" hidden="1" x14ac:dyDescent="0.3"/>
    <row r="2592" hidden="1" x14ac:dyDescent="0.3"/>
    <row r="2593" hidden="1" x14ac:dyDescent="0.3"/>
    <row r="2594" hidden="1" x14ac:dyDescent="0.3"/>
    <row r="2595" hidden="1" x14ac:dyDescent="0.3"/>
    <row r="2596" hidden="1" x14ac:dyDescent="0.3"/>
    <row r="2597" hidden="1" x14ac:dyDescent="0.3"/>
    <row r="2598" hidden="1" x14ac:dyDescent="0.3"/>
    <row r="2599" hidden="1" x14ac:dyDescent="0.3"/>
    <row r="2600" hidden="1" x14ac:dyDescent="0.3"/>
    <row r="2601" hidden="1" x14ac:dyDescent="0.3"/>
    <row r="2602" hidden="1" x14ac:dyDescent="0.3"/>
    <row r="2603" hidden="1" x14ac:dyDescent="0.3"/>
    <row r="2604" hidden="1" x14ac:dyDescent="0.3"/>
    <row r="2605" hidden="1" x14ac:dyDescent="0.3"/>
    <row r="2606" hidden="1" x14ac:dyDescent="0.3"/>
    <row r="2607" hidden="1" x14ac:dyDescent="0.3"/>
    <row r="2608" hidden="1" x14ac:dyDescent="0.3"/>
    <row r="2609" hidden="1" x14ac:dyDescent="0.3"/>
    <row r="2610" hidden="1" x14ac:dyDescent="0.3"/>
    <row r="2611" hidden="1" x14ac:dyDescent="0.3"/>
    <row r="2612" hidden="1" x14ac:dyDescent="0.3"/>
    <row r="2613" hidden="1" x14ac:dyDescent="0.3"/>
    <row r="2614" hidden="1" x14ac:dyDescent="0.3"/>
    <row r="2615" hidden="1" x14ac:dyDescent="0.3"/>
    <row r="2616" hidden="1" x14ac:dyDescent="0.3"/>
    <row r="2617" hidden="1" x14ac:dyDescent="0.3"/>
    <row r="2618" hidden="1" x14ac:dyDescent="0.3"/>
    <row r="2619" hidden="1" x14ac:dyDescent="0.3"/>
    <row r="2620" hidden="1" x14ac:dyDescent="0.3"/>
    <row r="2621" hidden="1" x14ac:dyDescent="0.3"/>
    <row r="2622" hidden="1" x14ac:dyDescent="0.3"/>
    <row r="2623" hidden="1" x14ac:dyDescent="0.3"/>
    <row r="2624" hidden="1" x14ac:dyDescent="0.3"/>
    <row r="2625" hidden="1" x14ac:dyDescent="0.3"/>
    <row r="2626" hidden="1" x14ac:dyDescent="0.3"/>
    <row r="2627" hidden="1" x14ac:dyDescent="0.3"/>
    <row r="2628" hidden="1" x14ac:dyDescent="0.3"/>
    <row r="2629" hidden="1" x14ac:dyDescent="0.3"/>
    <row r="2630" hidden="1" x14ac:dyDescent="0.3"/>
    <row r="2631" hidden="1" x14ac:dyDescent="0.3"/>
    <row r="2632" hidden="1" x14ac:dyDescent="0.3"/>
    <row r="2633" hidden="1" x14ac:dyDescent="0.3"/>
    <row r="2634" hidden="1" x14ac:dyDescent="0.3"/>
    <row r="2635" hidden="1" x14ac:dyDescent="0.3"/>
    <row r="2636" hidden="1" x14ac:dyDescent="0.3"/>
    <row r="2637" hidden="1" x14ac:dyDescent="0.3"/>
    <row r="2638" hidden="1" x14ac:dyDescent="0.3"/>
    <row r="2639" hidden="1" x14ac:dyDescent="0.3"/>
    <row r="2640" hidden="1" x14ac:dyDescent="0.3"/>
    <row r="2641" hidden="1" x14ac:dyDescent="0.3"/>
    <row r="2642" hidden="1" x14ac:dyDescent="0.3"/>
    <row r="2643" hidden="1" x14ac:dyDescent="0.3"/>
    <row r="2644" hidden="1" x14ac:dyDescent="0.3"/>
    <row r="2645" hidden="1" x14ac:dyDescent="0.3"/>
    <row r="2646" hidden="1" x14ac:dyDescent="0.3"/>
    <row r="2647" hidden="1" x14ac:dyDescent="0.3"/>
    <row r="2648" hidden="1" x14ac:dyDescent="0.3"/>
    <row r="2649" hidden="1" x14ac:dyDescent="0.3"/>
    <row r="2650" hidden="1" x14ac:dyDescent="0.3"/>
    <row r="2651" hidden="1" x14ac:dyDescent="0.3"/>
    <row r="2652" hidden="1" x14ac:dyDescent="0.3"/>
    <row r="2653" hidden="1" x14ac:dyDescent="0.3"/>
    <row r="2654" hidden="1" x14ac:dyDescent="0.3"/>
    <row r="2655" hidden="1" x14ac:dyDescent="0.3"/>
    <row r="2656" hidden="1" x14ac:dyDescent="0.3"/>
    <row r="2657" hidden="1" x14ac:dyDescent="0.3"/>
    <row r="2658" hidden="1" x14ac:dyDescent="0.3"/>
    <row r="2659" hidden="1" x14ac:dyDescent="0.3"/>
    <row r="2660" hidden="1" x14ac:dyDescent="0.3"/>
    <row r="2661" hidden="1" x14ac:dyDescent="0.3"/>
    <row r="2662" hidden="1" x14ac:dyDescent="0.3"/>
    <row r="2663" hidden="1" x14ac:dyDescent="0.3"/>
    <row r="2664" hidden="1" x14ac:dyDescent="0.3"/>
    <row r="2665" hidden="1" x14ac:dyDescent="0.3"/>
    <row r="2666" hidden="1" x14ac:dyDescent="0.3"/>
    <row r="2667" hidden="1" x14ac:dyDescent="0.3"/>
    <row r="2668" hidden="1" x14ac:dyDescent="0.3"/>
    <row r="2669" hidden="1" x14ac:dyDescent="0.3"/>
    <row r="2670" hidden="1" x14ac:dyDescent="0.3"/>
    <row r="2671" hidden="1" x14ac:dyDescent="0.3"/>
    <row r="2672" hidden="1" x14ac:dyDescent="0.3"/>
    <row r="2673" hidden="1" x14ac:dyDescent="0.3"/>
    <row r="2674" hidden="1" x14ac:dyDescent="0.3"/>
    <row r="2675" hidden="1" x14ac:dyDescent="0.3"/>
    <row r="2676" hidden="1" x14ac:dyDescent="0.3"/>
    <row r="2677" hidden="1" x14ac:dyDescent="0.3"/>
    <row r="2678" hidden="1" x14ac:dyDescent="0.3"/>
    <row r="2679" hidden="1" x14ac:dyDescent="0.3"/>
    <row r="2680" hidden="1" x14ac:dyDescent="0.3"/>
    <row r="2681" hidden="1" x14ac:dyDescent="0.3"/>
    <row r="2682" hidden="1" x14ac:dyDescent="0.3"/>
    <row r="2683" hidden="1" x14ac:dyDescent="0.3"/>
    <row r="2684" hidden="1" x14ac:dyDescent="0.3"/>
    <row r="2685" hidden="1" x14ac:dyDescent="0.3"/>
    <row r="2686" hidden="1" x14ac:dyDescent="0.3"/>
    <row r="2687" hidden="1" x14ac:dyDescent="0.3"/>
    <row r="2688" hidden="1" x14ac:dyDescent="0.3"/>
    <row r="2689" hidden="1" x14ac:dyDescent="0.3"/>
    <row r="2690" hidden="1" x14ac:dyDescent="0.3"/>
    <row r="2691" hidden="1" x14ac:dyDescent="0.3"/>
    <row r="2692" hidden="1" x14ac:dyDescent="0.3"/>
    <row r="2693" hidden="1" x14ac:dyDescent="0.3"/>
    <row r="2694" hidden="1" x14ac:dyDescent="0.3"/>
    <row r="2695" hidden="1" x14ac:dyDescent="0.3"/>
    <row r="2696" hidden="1" x14ac:dyDescent="0.3"/>
    <row r="2697" hidden="1" x14ac:dyDescent="0.3"/>
    <row r="2698" hidden="1" x14ac:dyDescent="0.3"/>
    <row r="2699" hidden="1" x14ac:dyDescent="0.3"/>
    <row r="2700" hidden="1" x14ac:dyDescent="0.3"/>
    <row r="2701" hidden="1" x14ac:dyDescent="0.3"/>
    <row r="2702" hidden="1" x14ac:dyDescent="0.3"/>
    <row r="2703" hidden="1" x14ac:dyDescent="0.3"/>
    <row r="2704" hidden="1" x14ac:dyDescent="0.3"/>
    <row r="2705" hidden="1" x14ac:dyDescent="0.3"/>
    <row r="2706" hidden="1" x14ac:dyDescent="0.3"/>
    <row r="2707" hidden="1" x14ac:dyDescent="0.3"/>
    <row r="2708" hidden="1" x14ac:dyDescent="0.3"/>
    <row r="2709" hidden="1" x14ac:dyDescent="0.3"/>
    <row r="2710" hidden="1" x14ac:dyDescent="0.3"/>
    <row r="2711" hidden="1" x14ac:dyDescent="0.3"/>
    <row r="2712" hidden="1" x14ac:dyDescent="0.3"/>
    <row r="2713" hidden="1" x14ac:dyDescent="0.3"/>
    <row r="2714" hidden="1" x14ac:dyDescent="0.3"/>
    <row r="2715" hidden="1" x14ac:dyDescent="0.3"/>
    <row r="2716" hidden="1" x14ac:dyDescent="0.3"/>
    <row r="2717" hidden="1" x14ac:dyDescent="0.3"/>
    <row r="2718" hidden="1" x14ac:dyDescent="0.3"/>
    <row r="2719" hidden="1" x14ac:dyDescent="0.3"/>
    <row r="2720" hidden="1" x14ac:dyDescent="0.3"/>
    <row r="2721" hidden="1" x14ac:dyDescent="0.3"/>
    <row r="2722" hidden="1" x14ac:dyDescent="0.3"/>
    <row r="2723" hidden="1" x14ac:dyDescent="0.3"/>
    <row r="2724" hidden="1" x14ac:dyDescent="0.3"/>
    <row r="2725" hidden="1" x14ac:dyDescent="0.3"/>
    <row r="2726" hidden="1" x14ac:dyDescent="0.3"/>
    <row r="2727" hidden="1" x14ac:dyDescent="0.3"/>
    <row r="2728" hidden="1" x14ac:dyDescent="0.3"/>
    <row r="2729" hidden="1" x14ac:dyDescent="0.3"/>
    <row r="2730" hidden="1" x14ac:dyDescent="0.3"/>
    <row r="2731" hidden="1" x14ac:dyDescent="0.3"/>
    <row r="2732" hidden="1" x14ac:dyDescent="0.3"/>
    <row r="2733" hidden="1" x14ac:dyDescent="0.3"/>
    <row r="2734" hidden="1" x14ac:dyDescent="0.3"/>
    <row r="2735" hidden="1" x14ac:dyDescent="0.3"/>
    <row r="2736" hidden="1" x14ac:dyDescent="0.3"/>
    <row r="2737" hidden="1" x14ac:dyDescent="0.3"/>
    <row r="2738" hidden="1" x14ac:dyDescent="0.3"/>
    <row r="2739" hidden="1" x14ac:dyDescent="0.3"/>
    <row r="2740" hidden="1" x14ac:dyDescent="0.3"/>
    <row r="2741" hidden="1" x14ac:dyDescent="0.3"/>
    <row r="2742" hidden="1" x14ac:dyDescent="0.3"/>
    <row r="2743" hidden="1" x14ac:dyDescent="0.3"/>
    <row r="2744" hidden="1" x14ac:dyDescent="0.3"/>
    <row r="2745" hidden="1" x14ac:dyDescent="0.3"/>
    <row r="2746" hidden="1" x14ac:dyDescent="0.3"/>
    <row r="2747" hidden="1" x14ac:dyDescent="0.3"/>
    <row r="2748" hidden="1" x14ac:dyDescent="0.3"/>
    <row r="2749" hidden="1" x14ac:dyDescent="0.3"/>
    <row r="2750" hidden="1" x14ac:dyDescent="0.3"/>
    <row r="2751" hidden="1" x14ac:dyDescent="0.3"/>
    <row r="2752" hidden="1" x14ac:dyDescent="0.3"/>
    <row r="2753" hidden="1" x14ac:dyDescent="0.3"/>
    <row r="2754" hidden="1" x14ac:dyDescent="0.3"/>
    <row r="2755" hidden="1" x14ac:dyDescent="0.3"/>
    <row r="2756" hidden="1" x14ac:dyDescent="0.3"/>
    <row r="2757" hidden="1" x14ac:dyDescent="0.3"/>
    <row r="2758" hidden="1" x14ac:dyDescent="0.3"/>
    <row r="2759" hidden="1" x14ac:dyDescent="0.3"/>
    <row r="2760" hidden="1" x14ac:dyDescent="0.3"/>
    <row r="2761" hidden="1" x14ac:dyDescent="0.3"/>
    <row r="2762" hidden="1" x14ac:dyDescent="0.3"/>
    <row r="2763" hidden="1" x14ac:dyDescent="0.3"/>
    <row r="2764" hidden="1" x14ac:dyDescent="0.3"/>
    <row r="2765" hidden="1" x14ac:dyDescent="0.3"/>
    <row r="2766" hidden="1" x14ac:dyDescent="0.3"/>
    <row r="2767" hidden="1" x14ac:dyDescent="0.3"/>
    <row r="2768" hidden="1" x14ac:dyDescent="0.3"/>
    <row r="2769" hidden="1" x14ac:dyDescent="0.3"/>
    <row r="2770" hidden="1" x14ac:dyDescent="0.3"/>
    <row r="2771" hidden="1" x14ac:dyDescent="0.3"/>
    <row r="2772" hidden="1" x14ac:dyDescent="0.3"/>
    <row r="2773" hidden="1" x14ac:dyDescent="0.3"/>
    <row r="2774" hidden="1" x14ac:dyDescent="0.3"/>
    <row r="2775" hidden="1" x14ac:dyDescent="0.3"/>
    <row r="2776" hidden="1" x14ac:dyDescent="0.3"/>
    <row r="2777" hidden="1" x14ac:dyDescent="0.3"/>
    <row r="2778" hidden="1" x14ac:dyDescent="0.3"/>
    <row r="2779" hidden="1" x14ac:dyDescent="0.3"/>
    <row r="2780" hidden="1" x14ac:dyDescent="0.3"/>
    <row r="2781" hidden="1" x14ac:dyDescent="0.3"/>
    <row r="2782" hidden="1" x14ac:dyDescent="0.3"/>
    <row r="2783" hidden="1" x14ac:dyDescent="0.3"/>
    <row r="2784" hidden="1" x14ac:dyDescent="0.3"/>
    <row r="2785" hidden="1" x14ac:dyDescent="0.3"/>
    <row r="2786" hidden="1" x14ac:dyDescent="0.3"/>
    <row r="2787" hidden="1" x14ac:dyDescent="0.3"/>
    <row r="2788" hidden="1" x14ac:dyDescent="0.3"/>
    <row r="2789" hidden="1" x14ac:dyDescent="0.3"/>
    <row r="2790" hidden="1" x14ac:dyDescent="0.3"/>
    <row r="2791" hidden="1" x14ac:dyDescent="0.3"/>
    <row r="2792" hidden="1" x14ac:dyDescent="0.3"/>
    <row r="2793" hidden="1" x14ac:dyDescent="0.3"/>
    <row r="2794" hidden="1" x14ac:dyDescent="0.3"/>
    <row r="2795" hidden="1" x14ac:dyDescent="0.3"/>
    <row r="2796" hidden="1" x14ac:dyDescent="0.3"/>
    <row r="2797" hidden="1" x14ac:dyDescent="0.3"/>
    <row r="2798" hidden="1" x14ac:dyDescent="0.3"/>
    <row r="2799" hidden="1" x14ac:dyDescent="0.3"/>
    <row r="2800" hidden="1" x14ac:dyDescent="0.3"/>
    <row r="2801" hidden="1" x14ac:dyDescent="0.3"/>
    <row r="2802" hidden="1" x14ac:dyDescent="0.3"/>
    <row r="2803" hidden="1" x14ac:dyDescent="0.3"/>
    <row r="2804" hidden="1" x14ac:dyDescent="0.3"/>
    <row r="2805" hidden="1" x14ac:dyDescent="0.3"/>
    <row r="2806" hidden="1" x14ac:dyDescent="0.3"/>
    <row r="2807" hidden="1" x14ac:dyDescent="0.3"/>
    <row r="2808" hidden="1" x14ac:dyDescent="0.3"/>
    <row r="2809" hidden="1" x14ac:dyDescent="0.3"/>
    <row r="2810" hidden="1" x14ac:dyDescent="0.3"/>
    <row r="2811" hidden="1" x14ac:dyDescent="0.3"/>
    <row r="2812" hidden="1" x14ac:dyDescent="0.3"/>
    <row r="2813" hidden="1" x14ac:dyDescent="0.3"/>
    <row r="2814" hidden="1" x14ac:dyDescent="0.3"/>
    <row r="2815" hidden="1" x14ac:dyDescent="0.3"/>
    <row r="2816" hidden="1" x14ac:dyDescent="0.3"/>
    <row r="2817" hidden="1" x14ac:dyDescent="0.3"/>
    <row r="2818" hidden="1" x14ac:dyDescent="0.3"/>
    <row r="2819" hidden="1" x14ac:dyDescent="0.3"/>
    <row r="2820" hidden="1" x14ac:dyDescent="0.3"/>
    <row r="2821" hidden="1" x14ac:dyDescent="0.3"/>
    <row r="2822" hidden="1" x14ac:dyDescent="0.3"/>
    <row r="2823" hidden="1" x14ac:dyDescent="0.3"/>
    <row r="2824" hidden="1" x14ac:dyDescent="0.3"/>
    <row r="2825" hidden="1" x14ac:dyDescent="0.3"/>
    <row r="2826" hidden="1" x14ac:dyDescent="0.3"/>
    <row r="2827" hidden="1" x14ac:dyDescent="0.3"/>
    <row r="2828" hidden="1" x14ac:dyDescent="0.3"/>
    <row r="2829" hidden="1" x14ac:dyDescent="0.3"/>
    <row r="2830" hidden="1" x14ac:dyDescent="0.3"/>
    <row r="2831" hidden="1" x14ac:dyDescent="0.3"/>
    <row r="2832" hidden="1" x14ac:dyDescent="0.3"/>
    <row r="2833" hidden="1" x14ac:dyDescent="0.3"/>
    <row r="2834" hidden="1" x14ac:dyDescent="0.3"/>
    <row r="2835" hidden="1" x14ac:dyDescent="0.3"/>
    <row r="2836" hidden="1" x14ac:dyDescent="0.3"/>
    <row r="2837" hidden="1" x14ac:dyDescent="0.3"/>
    <row r="2838" hidden="1" x14ac:dyDescent="0.3"/>
    <row r="2839" hidden="1" x14ac:dyDescent="0.3"/>
    <row r="2840" hidden="1" x14ac:dyDescent="0.3"/>
    <row r="2841" hidden="1" x14ac:dyDescent="0.3"/>
    <row r="2842" hidden="1" x14ac:dyDescent="0.3"/>
    <row r="2843" hidden="1" x14ac:dyDescent="0.3"/>
    <row r="2844" hidden="1" x14ac:dyDescent="0.3"/>
    <row r="2845" hidden="1" x14ac:dyDescent="0.3"/>
    <row r="2846" hidden="1" x14ac:dyDescent="0.3"/>
    <row r="2847" hidden="1" x14ac:dyDescent="0.3"/>
    <row r="2848" hidden="1" x14ac:dyDescent="0.3"/>
    <row r="2849" hidden="1" x14ac:dyDescent="0.3"/>
    <row r="2850" hidden="1" x14ac:dyDescent="0.3"/>
    <row r="2851" hidden="1" x14ac:dyDescent="0.3"/>
    <row r="2852" hidden="1" x14ac:dyDescent="0.3"/>
    <row r="2853" hidden="1" x14ac:dyDescent="0.3"/>
    <row r="2854" hidden="1" x14ac:dyDescent="0.3"/>
    <row r="2855" hidden="1" x14ac:dyDescent="0.3"/>
    <row r="2856" hidden="1" x14ac:dyDescent="0.3"/>
    <row r="2857" hidden="1" x14ac:dyDescent="0.3"/>
    <row r="2858" hidden="1" x14ac:dyDescent="0.3"/>
    <row r="2859" hidden="1" x14ac:dyDescent="0.3"/>
    <row r="2860" hidden="1" x14ac:dyDescent="0.3"/>
    <row r="2861" hidden="1" x14ac:dyDescent="0.3"/>
    <row r="2862" hidden="1" x14ac:dyDescent="0.3"/>
    <row r="2863" hidden="1" x14ac:dyDescent="0.3"/>
    <row r="2864" hidden="1" x14ac:dyDescent="0.3"/>
    <row r="2865" hidden="1" x14ac:dyDescent="0.3"/>
    <row r="2866" hidden="1" x14ac:dyDescent="0.3"/>
    <row r="2867" hidden="1" x14ac:dyDescent="0.3"/>
    <row r="2868" hidden="1" x14ac:dyDescent="0.3"/>
    <row r="2869" hidden="1" x14ac:dyDescent="0.3"/>
    <row r="2870" hidden="1" x14ac:dyDescent="0.3"/>
    <row r="2871" hidden="1" x14ac:dyDescent="0.3"/>
    <row r="2872" hidden="1" x14ac:dyDescent="0.3"/>
    <row r="2873" hidden="1" x14ac:dyDescent="0.3"/>
    <row r="2874" hidden="1" x14ac:dyDescent="0.3"/>
    <row r="2875" hidden="1" x14ac:dyDescent="0.3"/>
    <row r="2876" hidden="1" x14ac:dyDescent="0.3"/>
    <row r="2877" hidden="1" x14ac:dyDescent="0.3"/>
    <row r="2878" hidden="1" x14ac:dyDescent="0.3"/>
    <row r="2879" hidden="1" x14ac:dyDescent="0.3"/>
    <row r="2880" hidden="1" x14ac:dyDescent="0.3"/>
    <row r="2881" hidden="1" x14ac:dyDescent="0.3"/>
    <row r="2882" hidden="1" x14ac:dyDescent="0.3"/>
    <row r="2883" hidden="1" x14ac:dyDescent="0.3"/>
    <row r="2884" hidden="1" x14ac:dyDescent="0.3"/>
    <row r="2885" hidden="1" x14ac:dyDescent="0.3"/>
    <row r="2886" hidden="1" x14ac:dyDescent="0.3"/>
    <row r="2887" hidden="1" x14ac:dyDescent="0.3"/>
    <row r="2888" hidden="1" x14ac:dyDescent="0.3"/>
    <row r="2889" hidden="1" x14ac:dyDescent="0.3"/>
    <row r="2890" hidden="1" x14ac:dyDescent="0.3"/>
    <row r="2891" hidden="1" x14ac:dyDescent="0.3"/>
    <row r="2892" hidden="1" x14ac:dyDescent="0.3"/>
    <row r="2893" hidden="1" x14ac:dyDescent="0.3"/>
    <row r="2894" hidden="1" x14ac:dyDescent="0.3"/>
    <row r="2895" hidden="1" x14ac:dyDescent="0.3"/>
    <row r="2896" hidden="1" x14ac:dyDescent="0.3"/>
    <row r="2897" hidden="1" x14ac:dyDescent="0.3"/>
    <row r="2898" hidden="1" x14ac:dyDescent="0.3"/>
    <row r="2899" hidden="1" x14ac:dyDescent="0.3"/>
    <row r="2900" hidden="1" x14ac:dyDescent="0.3"/>
    <row r="2901" hidden="1" x14ac:dyDescent="0.3"/>
    <row r="2902" hidden="1" x14ac:dyDescent="0.3"/>
    <row r="2903" hidden="1" x14ac:dyDescent="0.3"/>
    <row r="2904" hidden="1" x14ac:dyDescent="0.3"/>
    <row r="2905" hidden="1" x14ac:dyDescent="0.3"/>
    <row r="2906" hidden="1" x14ac:dyDescent="0.3"/>
    <row r="2907" hidden="1" x14ac:dyDescent="0.3"/>
    <row r="2908" hidden="1" x14ac:dyDescent="0.3"/>
    <row r="2909" hidden="1" x14ac:dyDescent="0.3"/>
    <row r="2910" hidden="1" x14ac:dyDescent="0.3"/>
    <row r="2911" hidden="1" x14ac:dyDescent="0.3"/>
    <row r="2912" hidden="1" x14ac:dyDescent="0.3"/>
    <row r="2913" hidden="1" x14ac:dyDescent="0.3"/>
    <row r="2914" hidden="1" x14ac:dyDescent="0.3"/>
    <row r="2915" hidden="1" x14ac:dyDescent="0.3"/>
    <row r="2916" hidden="1" x14ac:dyDescent="0.3"/>
    <row r="2917" hidden="1" x14ac:dyDescent="0.3"/>
    <row r="2918" hidden="1" x14ac:dyDescent="0.3"/>
    <row r="2919" hidden="1" x14ac:dyDescent="0.3"/>
    <row r="2920" hidden="1" x14ac:dyDescent="0.3"/>
    <row r="2921" hidden="1" x14ac:dyDescent="0.3"/>
    <row r="2922" hidden="1" x14ac:dyDescent="0.3"/>
    <row r="2923" hidden="1" x14ac:dyDescent="0.3"/>
    <row r="2924" hidden="1" x14ac:dyDescent="0.3"/>
    <row r="2925" hidden="1" x14ac:dyDescent="0.3"/>
    <row r="2926" hidden="1" x14ac:dyDescent="0.3"/>
    <row r="2927" hidden="1" x14ac:dyDescent="0.3"/>
    <row r="2928" hidden="1" x14ac:dyDescent="0.3"/>
    <row r="2929" hidden="1" x14ac:dyDescent="0.3"/>
    <row r="2930" hidden="1" x14ac:dyDescent="0.3"/>
    <row r="2931" hidden="1" x14ac:dyDescent="0.3"/>
    <row r="2932" hidden="1" x14ac:dyDescent="0.3"/>
    <row r="2933" hidden="1" x14ac:dyDescent="0.3"/>
    <row r="2934" hidden="1" x14ac:dyDescent="0.3"/>
    <row r="2935" hidden="1" x14ac:dyDescent="0.3"/>
    <row r="2936" hidden="1" x14ac:dyDescent="0.3"/>
    <row r="2937" hidden="1" x14ac:dyDescent="0.3"/>
    <row r="2938" hidden="1" x14ac:dyDescent="0.3"/>
    <row r="2939" hidden="1" x14ac:dyDescent="0.3"/>
    <row r="2940" hidden="1" x14ac:dyDescent="0.3"/>
    <row r="2941" hidden="1" x14ac:dyDescent="0.3"/>
    <row r="2942" hidden="1" x14ac:dyDescent="0.3"/>
    <row r="2943" hidden="1" x14ac:dyDescent="0.3"/>
    <row r="2944" hidden="1" x14ac:dyDescent="0.3"/>
    <row r="2945" hidden="1" x14ac:dyDescent="0.3"/>
    <row r="2946" hidden="1" x14ac:dyDescent="0.3"/>
    <row r="2947" hidden="1" x14ac:dyDescent="0.3"/>
    <row r="2948" hidden="1" x14ac:dyDescent="0.3"/>
    <row r="2949" hidden="1" x14ac:dyDescent="0.3"/>
    <row r="2950" hidden="1" x14ac:dyDescent="0.3"/>
    <row r="2951" hidden="1" x14ac:dyDescent="0.3"/>
    <row r="2952" hidden="1" x14ac:dyDescent="0.3"/>
    <row r="2953" hidden="1" x14ac:dyDescent="0.3"/>
    <row r="2954" hidden="1" x14ac:dyDescent="0.3"/>
    <row r="2955" hidden="1" x14ac:dyDescent="0.3"/>
    <row r="2956" hidden="1" x14ac:dyDescent="0.3"/>
    <row r="2957" hidden="1" x14ac:dyDescent="0.3"/>
    <row r="2958" hidden="1" x14ac:dyDescent="0.3"/>
    <row r="2959" hidden="1" x14ac:dyDescent="0.3"/>
    <row r="2960" hidden="1" x14ac:dyDescent="0.3"/>
    <row r="2961" hidden="1" x14ac:dyDescent="0.3"/>
    <row r="2962" hidden="1" x14ac:dyDescent="0.3"/>
    <row r="2963" hidden="1" x14ac:dyDescent="0.3"/>
    <row r="2964" hidden="1" x14ac:dyDescent="0.3"/>
    <row r="2965" hidden="1" x14ac:dyDescent="0.3"/>
    <row r="2966" hidden="1" x14ac:dyDescent="0.3"/>
    <row r="2967" hidden="1" x14ac:dyDescent="0.3"/>
    <row r="2968" hidden="1" x14ac:dyDescent="0.3"/>
    <row r="2969" hidden="1" x14ac:dyDescent="0.3"/>
    <row r="2970" hidden="1" x14ac:dyDescent="0.3"/>
    <row r="2971" hidden="1" x14ac:dyDescent="0.3"/>
    <row r="2972" hidden="1" x14ac:dyDescent="0.3"/>
    <row r="2973" hidden="1" x14ac:dyDescent="0.3"/>
    <row r="2974" hidden="1" x14ac:dyDescent="0.3"/>
    <row r="2975" hidden="1" x14ac:dyDescent="0.3"/>
    <row r="2976" hidden="1" x14ac:dyDescent="0.3"/>
    <row r="2977" hidden="1" x14ac:dyDescent="0.3"/>
    <row r="2978" hidden="1" x14ac:dyDescent="0.3"/>
    <row r="2979" hidden="1" x14ac:dyDescent="0.3"/>
    <row r="2980" hidden="1" x14ac:dyDescent="0.3"/>
    <row r="2981" hidden="1" x14ac:dyDescent="0.3"/>
    <row r="2982" hidden="1" x14ac:dyDescent="0.3"/>
    <row r="2983" hidden="1" x14ac:dyDescent="0.3"/>
    <row r="2984" hidden="1" x14ac:dyDescent="0.3"/>
    <row r="2985" hidden="1" x14ac:dyDescent="0.3"/>
    <row r="2986" hidden="1" x14ac:dyDescent="0.3"/>
    <row r="2987" hidden="1" x14ac:dyDescent="0.3"/>
    <row r="2988" hidden="1" x14ac:dyDescent="0.3"/>
    <row r="2989" hidden="1" x14ac:dyDescent="0.3"/>
    <row r="2990" hidden="1" x14ac:dyDescent="0.3"/>
    <row r="2991" hidden="1" x14ac:dyDescent="0.3"/>
    <row r="2992" hidden="1" x14ac:dyDescent="0.3"/>
    <row r="2993" hidden="1" x14ac:dyDescent="0.3"/>
    <row r="2994" hidden="1" x14ac:dyDescent="0.3"/>
    <row r="2995" hidden="1" x14ac:dyDescent="0.3"/>
    <row r="2996" hidden="1" x14ac:dyDescent="0.3"/>
    <row r="2997" hidden="1" x14ac:dyDescent="0.3"/>
    <row r="2998" hidden="1" x14ac:dyDescent="0.3"/>
    <row r="2999" hidden="1" x14ac:dyDescent="0.3"/>
    <row r="3000" hidden="1" x14ac:dyDescent="0.3"/>
    <row r="3001" hidden="1" x14ac:dyDescent="0.3"/>
    <row r="3002" hidden="1" x14ac:dyDescent="0.3"/>
    <row r="3003" hidden="1" x14ac:dyDescent="0.3"/>
    <row r="3004" hidden="1" x14ac:dyDescent="0.3"/>
    <row r="3005" hidden="1" x14ac:dyDescent="0.3"/>
    <row r="3006" hidden="1" x14ac:dyDescent="0.3"/>
    <row r="3007" hidden="1" x14ac:dyDescent="0.3"/>
    <row r="3008" hidden="1" x14ac:dyDescent="0.3"/>
    <row r="3009" hidden="1" x14ac:dyDescent="0.3"/>
    <row r="3010" hidden="1" x14ac:dyDescent="0.3"/>
    <row r="3011" hidden="1" x14ac:dyDescent="0.3"/>
    <row r="3012" hidden="1" x14ac:dyDescent="0.3"/>
    <row r="3013" hidden="1" x14ac:dyDescent="0.3"/>
    <row r="3014" hidden="1" x14ac:dyDescent="0.3"/>
    <row r="3015" hidden="1" x14ac:dyDescent="0.3"/>
    <row r="3016" hidden="1" x14ac:dyDescent="0.3"/>
    <row r="3017" hidden="1" x14ac:dyDescent="0.3"/>
    <row r="3018" hidden="1" x14ac:dyDescent="0.3"/>
    <row r="3019" hidden="1" x14ac:dyDescent="0.3"/>
    <row r="3020" hidden="1" x14ac:dyDescent="0.3"/>
    <row r="3021" hidden="1" x14ac:dyDescent="0.3"/>
    <row r="3022" hidden="1" x14ac:dyDescent="0.3"/>
    <row r="3023" hidden="1" x14ac:dyDescent="0.3"/>
    <row r="3024" hidden="1" x14ac:dyDescent="0.3"/>
    <row r="3025" hidden="1" x14ac:dyDescent="0.3"/>
    <row r="3026" hidden="1" x14ac:dyDescent="0.3"/>
    <row r="3027" hidden="1" x14ac:dyDescent="0.3"/>
    <row r="3028" hidden="1" x14ac:dyDescent="0.3"/>
    <row r="3029" hidden="1" x14ac:dyDescent="0.3"/>
    <row r="3030" hidden="1" x14ac:dyDescent="0.3"/>
    <row r="3031" hidden="1" x14ac:dyDescent="0.3"/>
    <row r="3032" hidden="1" x14ac:dyDescent="0.3"/>
    <row r="3033" hidden="1" x14ac:dyDescent="0.3"/>
    <row r="3034" hidden="1" x14ac:dyDescent="0.3"/>
    <row r="3035" hidden="1" x14ac:dyDescent="0.3"/>
    <row r="3036" hidden="1" x14ac:dyDescent="0.3"/>
    <row r="3037" hidden="1" x14ac:dyDescent="0.3"/>
    <row r="3038" hidden="1" x14ac:dyDescent="0.3"/>
    <row r="3039" hidden="1" x14ac:dyDescent="0.3"/>
    <row r="3040" hidden="1" x14ac:dyDescent="0.3"/>
    <row r="3041" hidden="1" x14ac:dyDescent="0.3"/>
    <row r="3042" hidden="1" x14ac:dyDescent="0.3"/>
    <row r="3043" hidden="1" x14ac:dyDescent="0.3"/>
    <row r="3044" hidden="1" x14ac:dyDescent="0.3"/>
    <row r="3045" hidden="1" x14ac:dyDescent="0.3"/>
    <row r="3046" hidden="1" x14ac:dyDescent="0.3"/>
    <row r="3047" hidden="1" x14ac:dyDescent="0.3"/>
    <row r="3048" hidden="1" x14ac:dyDescent="0.3"/>
    <row r="3049" hidden="1" x14ac:dyDescent="0.3"/>
    <row r="3050" hidden="1" x14ac:dyDescent="0.3"/>
    <row r="3051" hidden="1" x14ac:dyDescent="0.3"/>
    <row r="3052" hidden="1" x14ac:dyDescent="0.3"/>
    <row r="3053" hidden="1" x14ac:dyDescent="0.3"/>
    <row r="3054" hidden="1" x14ac:dyDescent="0.3"/>
    <row r="3055" hidden="1" x14ac:dyDescent="0.3"/>
    <row r="3056" hidden="1" x14ac:dyDescent="0.3"/>
    <row r="3057" hidden="1" x14ac:dyDescent="0.3"/>
    <row r="3058" hidden="1" x14ac:dyDescent="0.3"/>
    <row r="3059" hidden="1" x14ac:dyDescent="0.3"/>
    <row r="3060" hidden="1" x14ac:dyDescent="0.3"/>
    <row r="3061" hidden="1" x14ac:dyDescent="0.3"/>
    <row r="3062" hidden="1" x14ac:dyDescent="0.3"/>
    <row r="3063" hidden="1" x14ac:dyDescent="0.3"/>
    <row r="3064" hidden="1" x14ac:dyDescent="0.3"/>
    <row r="3065" hidden="1" x14ac:dyDescent="0.3"/>
    <row r="3066" hidden="1" x14ac:dyDescent="0.3"/>
    <row r="3067" hidden="1" x14ac:dyDescent="0.3"/>
    <row r="3068" hidden="1" x14ac:dyDescent="0.3"/>
    <row r="3069" hidden="1" x14ac:dyDescent="0.3"/>
    <row r="3070" hidden="1" x14ac:dyDescent="0.3"/>
    <row r="3071" hidden="1" x14ac:dyDescent="0.3"/>
    <row r="3072" hidden="1" x14ac:dyDescent="0.3"/>
    <row r="3073" hidden="1" x14ac:dyDescent="0.3"/>
    <row r="3074" hidden="1" x14ac:dyDescent="0.3"/>
    <row r="3075" hidden="1" x14ac:dyDescent="0.3"/>
    <row r="3076" hidden="1" x14ac:dyDescent="0.3"/>
    <row r="3077" hidden="1" x14ac:dyDescent="0.3"/>
    <row r="3078" hidden="1" x14ac:dyDescent="0.3"/>
    <row r="3079" hidden="1" x14ac:dyDescent="0.3"/>
    <row r="3080" hidden="1" x14ac:dyDescent="0.3"/>
    <row r="3081" hidden="1" x14ac:dyDescent="0.3"/>
    <row r="3082" hidden="1" x14ac:dyDescent="0.3"/>
    <row r="3083" hidden="1" x14ac:dyDescent="0.3"/>
    <row r="3084" hidden="1" x14ac:dyDescent="0.3"/>
    <row r="3085" hidden="1" x14ac:dyDescent="0.3"/>
    <row r="3086" hidden="1" x14ac:dyDescent="0.3"/>
    <row r="3087" hidden="1" x14ac:dyDescent="0.3"/>
    <row r="3088" hidden="1" x14ac:dyDescent="0.3"/>
    <row r="3089" hidden="1" x14ac:dyDescent="0.3"/>
    <row r="3090" hidden="1" x14ac:dyDescent="0.3"/>
    <row r="3091" hidden="1" x14ac:dyDescent="0.3"/>
    <row r="3092" hidden="1" x14ac:dyDescent="0.3"/>
    <row r="3093" hidden="1" x14ac:dyDescent="0.3"/>
    <row r="3094" hidden="1" x14ac:dyDescent="0.3"/>
    <row r="3095" hidden="1" x14ac:dyDescent="0.3"/>
    <row r="3096" hidden="1" x14ac:dyDescent="0.3"/>
    <row r="3097" hidden="1" x14ac:dyDescent="0.3"/>
    <row r="3098" hidden="1" x14ac:dyDescent="0.3"/>
    <row r="3099" hidden="1" x14ac:dyDescent="0.3"/>
    <row r="3100" hidden="1" x14ac:dyDescent="0.3"/>
    <row r="3101" hidden="1" x14ac:dyDescent="0.3"/>
    <row r="3102" hidden="1" x14ac:dyDescent="0.3"/>
    <row r="3103" hidden="1" x14ac:dyDescent="0.3"/>
    <row r="3104" hidden="1" x14ac:dyDescent="0.3"/>
    <row r="3105" hidden="1" x14ac:dyDescent="0.3"/>
    <row r="3106" hidden="1" x14ac:dyDescent="0.3"/>
    <row r="3107" hidden="1" x14ac:dyDescent="0.3"/>
    <row r="3108" hidden="1" x14ac:dyDescent="0.3"/>
    <row r="3109" hidden="1" x14ac:dyDescent="0.3"/>
    <row r="3110" hidden="1" x14ac:dyDescent="0.3"/>
    <row r="3111" hidden="1" x14ac:dyDescent="0.3"/>
    <row r="3112" hidden="1" x14ac:dyDescent="0.3"/>
    <row r="3113" hidden="1" x14ac:dyDescent="0.3"/>
    <row r="3114" hidden="1" x14ac:dyDescent="0.3"/>
    <row r="3115" hidden="1" x14ac:dyDescent="0.3"/>
    <row r="3116" hidden="1" x14ac:dyDescent="0.3"/>
    <row r="3117" hidden="1" x14ac:dyDescent="0.3"/>
    <row r="3118" hidden="1" x14ac:dyDescent="0.3"/>
    <row r="3119" hidden="1" x14ac:dyDescent="0.3"/>
    <row r="3120" hidden="1" x14ac:dyDescent="0.3"/>
    <row r="3121" hidden="1" x14ac:dyDescent="0.3"/>
    <row r="3122" hidden="1" x14ac:dyDescent="0.3"/>
    <row r="3123" hidden="1" x14ac:dyDescent="0.3"/>
    <row r="3124" hidden="1" x14ac:dyDescent="0.3"/>
    <row r="3125" hidden="1" x14ac:dyDescent="0.3"/>
    <row r="3126" hidden="1" x14ac:dyDescent="0.3"/>
    <row r="3127" hidden="1" x14ac:dyDescent="0.3"/>
    <row r="3128" hidden="1" x14ac:dyDescent="0.3"/>
    <row r="3129" hidden="1" x14ac:dyDescent="0.3"/>
    <row r="3130" hidden="1" x14ac:dyDescent="0.3"/>
    <row r="3131" hidden="1" x14ac:dyDescent="0.3"/>
    <row r="3132" hidden="1" x14ac:dyDescent="0.3"/>
    <row r="3133" hidden="1" x14ac:dyDescent="0.3"/>
    <row r="3134" hidden="1" x14ac:dyDescent="0.3"/>
    <row r="3135" hidden="1" x14ac:dyDescent="0.3"/>
    <row r="3136" hidden="1" x14ac:dyDescent="0.3"/>
    <row r="3137" hidden="1" x14ac:dyDescent="0.3"/>
    <row r="3138" hidden="1" x14ac:dyDescent="0.3"/>
    <row r="3139" hidden="1" x14ac:dyDescent="0.3"/>
    <row r="3140" hidden="1" x14ac:dyDescent="0.3"/>
    <row r="3141" hidden="1" x14ac:dyDescent="0.3"/>
    <row r="3142" hidden="1" x14ac:dyDescent="0.3"/>
    <row r="3143" hidden="1" x14ac:dyDescent="0.3"/>
    <row r="3144" hidden="1" x14ac:dyDescent="0.3"/>
    <row r="3145" hidden="1" x14ac:dyDescent="0.3"/>
    <row r="3146" hidden="1" x14ac:dyDescent="0.3"/>
    <row r="3147" hidden="1" x14ac:dyDescent="0.3"/>
    <row r="3148" hidden="1" x14ac:dyDescent="0.3"/>
    <row r="3149" hidden="1" x14ac:dyDescent="0.3"/>
    <row r="3150" hidden="1" x14ac:dyDescent="0.3"/>
    <row r="3151" hidden="1" x14ac:dyDescent="0.3"/>
    <row r="3152" hidden="1" x14ac:dyDescent="0.3"/>
    <row r="3153" hidden="1" x14ac:dyDescent="0.3"/>
    <row r="3154" hidden="1" x14ac:dyDescent="0.3"/>
    <row r="3155" hidden="1" x14ac:dyDescent="0.3"/>
    <row r="3156" hidden="1" x14ac:dyDescent="0.3"/>
    <row r="3157" hidden="1" x14ac:dyDescent="0.3"/>
    <row r="3158" hidden="1" x14ac:dyDescent="0.3"/>
    <row r="3159" hidden="1" x14ac:dyDescent="0.3"/>
    <row r="3160" hidden="1" x14ac:dyDescent="0.3"/>
    <row r="3161" hidden="1" x14ac:dyDescent="0.3"/>
    <row r="3162" hidden="1" x14ac:dyDescent="0.3"/>
    <row r="3163" hidden="1" x14ac:dyDescent="0.3"/>
    <row r="3164" hidden="1" x14ac:dyDescent="0.3"/>
    <row r="3165" hidden="1" x14ac:dyDescent="0.3"/>
    <row r="3166" hidden="1" x14ac:dyDescent="0.3"/>
    <row r="3167" hidden="1" x14ac:dyDescent="0.3"/>
    <row r="3168" hidden="1" x14ac:dyDescent="0.3"/>
    <row r="3169" hidden="1" x14ac:dyDescent="0.3"/>
    <row r="3170" hidden="1" x14ac:dyDescent="0.3"/>
    <row r="3171" hidden="1" x14ac:dyDescent="0.3"/>
    <row r="3172" hidden="1" x14ac:dyDescent="0.3"/>
    <row r="3173" hidden="1" x14ac:dyDescent="0.3"/>
    <row r="3174" hidden="1" x14ac:dyDescent="0.3"/>
    <row r="3175" hidden="1" x14ac:dyDescent="0.3"/>
    <row r="3176" hidden="1" x14ac:dyDescent="0.3"/>
    <row r="3177" hidden="1" x14ac:dyDescent="0.3"/>
    <row r="3178" hidden="1" x14ac:dyDescent="0.3"/>
    <row r="3179" hidden="1" x14ac:dyDescent="0.3"/>
    <row r="3180" hidden="1" x14ac:dyDescent="0.3"/>
    <row r="3181" hidden="1" x14ac:dyDescent="0.3"/>
    <row r="3182" hidden="1" x14ac:dyDescent="0.3"/>
    <row r="3183" hidden="1" x14ac:dyDescent="0.3"/>
    <row r="3184" hidden="1" x14ac:dyDescent="0.3"/>
    <row r="3185" hidden="1" x14ac:dyDescent="0.3"/>
    <row r="3186" hidden="1" x14ac:dyDescent="0.3"/>
    <row r="3187" hidden="1" x14ac:dyDescent="0.3"/>
    <row r="3188" hidden="1" x14ac:dyDescent="0.3"/>
    <row r="3189" hidden="1" x14ac:dyDescent="0.3"/>
    <row r="3190" hidden="1" x14ac:dyDescent="0.3"/>
    <row r="3191" hidden="1" x14ac:dyDescent="0.3"/>
    <row r="3192" hidden="1" x14ac:dyDescent="0.3"/>
    <row r="3193" hidden="1" x14ac:dyDescent="0.3"/>
    <row r="3194" hidden="1" x14ac:dyDescent="0.3"/>
    <row r="3195" hidden="1" x14ac:dyDescent="0.3"/>
    <row r="3196" hidden="1" x14ac:dyDescent="0.3"/>
    <row r="3197" hidden="1" x14ac:dyDescent="0.3"/>
    <row r="3198" hidden="1" x14ac:dyDescent="0.3"/>
    <row r="3199" hidden="1" x14ac:dyDescent="0.3"/>
    <row r="3200" hidden="1" x14ac:dyDescent="0.3"/>
    <row r="3201" hidden="1" x14ac:dyDescent="0.3"/>
    <row r="3202" hidden="1" x14ac:dyDescent="0.3"/>
    <row r="3203" hidden="1" x14ac:dyDescent="0.3"/>
    <row r="3204" hidden="1" x14ac:dyDescent="0.3"/>
    <row r="3205" hidden="1" x14ac:dyDescent="0.3"/>
    <row r="3206" hidden="1" x14ac:dyDescent="0.3"/>
    <row r="3207" hidden="1" x14ac:dyDescent="0.3"/>
    <row r="3208" hidden="1" x14ac:dyDescent="0.3"/>
    <row r="3209" hidden="1" x14ac:dyDescent="0.3"/>
    <row r="3210" hidden="1" x14ac:dyDescent="0.3"/>
    <row r="3211" hidden="1" x14ac:dyDescent="0.3"/>
    <row r="3212" hidden="1" x14ac:dyDescent="0.3"/>
    <row r="3213" hidden="1" x14ac:dyDescent="0.3"/>
    <row r="3214" hidden="1" x14ac:dyDescent="0.3"/>
    <row r="3215" hidden="1" x14ac:dyDescent="0.3"/>
    <row r="3216" hidden="1" x14ac:dyDescent="0.3"/>
    <row r="3217" hidden="1" x14ac:dyDescent="0.3"/>
    <row r="3218" hidden="1" x14ac:dyDescent="0.3"/>
    <row r="3219" hidden="1" x14ac:dyDescent="0.3"/>
    <row r="3220" hidden="1" x14ac:dyDescent="0.3"/>
    <row r="3221" hidden="1" x14ac:dyDescent="0.3"/>
    <row r="3222" hidden="1" x14ac:dyDescent="0.3"/>
    <row r="3223" hidden="1" x14ac:dyDescent="0.3"/>
    <row r="3224" hidden="1" x14ac:dyDescent="0.3"/>
    <row r="3225" hidden="1" x14ac:dyDescent="0.3"/>
    <row r="3226" hidden="1" x14ac:dyDescent="0.3"/>
    <row r="3227" hidden="1" x14ac:dyDescent="0.3"/>
    <row r="3228" hidden="1" x14ac:dyDescent="0.3"/>
    <row r="3229" hidden="1" x14ac:dyDescent="0.3"/>
    <row r="3230" hidden="1" x14ac:dyDescent="0.3"/>
    <row r="3231" hidden="1" x14ac:dyDescent="0.3"/>
    <row r="3232" hidden="1" x14ac:dyDescent="0.3"/>
    <row r="3233" hidden="1" x14ac:dyDescent="0.3"/>
    <row r="3234" hidden="1" x14ac:dyDescent="0.3"/>
    <row r="3235" hidden="1" x14ac:dyDescent="0.3"/>
    <row r="3236" hidden="1" x14ac:dyDescent="0.3"/>
    <row r="3237" hidden="1" x14ac:dyDescent="0.3"/>
    <row r="3238" hidden="1" x14ac:dyDescent="0.3"/>
    <row r="3239" hidden="1" x14ac:dyDescent="0.3"/>
    <row r="3240" hidden="1" x14ac:dyDescent="0.3"/>
    <row r="3241" hidden="1" x14ac:dyDescent="0.3"/>
    <row r="3242" hidden="1" x14ac:dyDescent="0.3"/>
    <row r="3243" hidden="1" x14ac:dyDescent="0.3"/>
    <row r="3244" hidden="1" x14ac:dyDescent="0.3"/>
    <row r="3245" hidden="1" x14ac:dyDescent="0.3"/>
    <row r="3246" hidden="1" x14ac:dyDescent="0.3"/>
    <row r="3247" hidden="1" x14ac:dyDescent="0.3"/>
    <row r="3248" hidden="1" x14ac:dyDescent="0.3"/>
    <row r="3249" hidden="1" x14ac:dyDescent="0.3"/>
    <row r="3250" hidden="1" x14ac:dyDescent="0.3"/>
    <row r="3251" hidden="1" x14ac:dyDescent="0.3"/>
    <row r="3252" hidden="1" x14ac:dyDescent="0.3"/>
    <row r="3253" hidden="1" x14ac:dyDescent="0.3"/>
    <row r="3254" hidden="1" x14ac:dyDescent="0.3"/>
    <row r="3255" hidden="1" x14ac:dyDescent="0.3"/>
    <row r="3256" hidden="1" x14ac:dyDescent="0.3"/>
    <row r="3257" hidden="1" x14ac:dyDescent="0.3"/>
    <row r="3258" hidden="1" x14ac:dyDescent="0.3"/>
    <row r="3259" hidden="1" x14ac:dyDescent="0.3"/>
    <row r="3260" hidden="1" x14ac:dyDescent="0.3"/>
    <row r="3261" hidden="1" x14ac:dyDescent="0.3"/>
    <row r="3262" hidden="1" x14ac:dyDescent="0.3"/>
    <row r="3263" hidden="1" x14ac:dyDescent="0.3"/>
    <row r="3264" hidden="1" x14ac:dyDescent="0.3"/>
    <row r="3265" hidden="1" x14ac:dyDescent="0.3"/>
    <row r="3266" hidden="1" x14ac:dyDescent="0.3"/>
    <row r="3267" hidden="1" x14ac:dyDescent="0.3"/>
    <row r="3268" hidden="1" x14ac:dyDescent="0.3"/>
    <row r="3269" hidden="1" x14ac:dyDescent="0.3"/>
    <row r="3270" hidden="1" x14ac:dyDescent="0.3"/>
    <row r="3271" hidden="1" x14ac:dyDescent="0.3"/>
    <row r="3272" hidden="1" x14ac:dyDescent="0.3"/>
    <row r="3273" hidden="1" x14ac:dyDescent="0.3"/>
    <row r="3274" hidden="1" x14ac:dyDescent="0.3"/>
    <row r="3275" hidden="1" x14ac:dyDescent="0.3"/>
    <row r="3276" hidden="1" x14ac:dyDescent="0.3"/>
    <row r="3277" hidden="1" x14ac:dyDescent="0.3"/>
    <row r="3278" hidden="1" x14ac:dyDescent="0.3"/>
    <row r="3279" hidden="1" x14ac:dyDescent="0.3"/>
    <row r="3280" hidden="1" x14ac:dyDescent="0.3"/>
    <row r="3281" hidden="1" x14ac:dyDescent="0.3"/>
    <row r="3282" hidden="1" x14ac:dyDescent="0.3"/>
    <row r="3283" hidden="1" x14ac:dyDescent="0.3"/>
    <row r="3284" hidden="1" x14ac:dyDescent="0.3"/>
    <row r="3285" hidden="1" x14ac:dyDescent="0.3"/>
    <row r="3286" hidden="1" x14ac:dyDescent="0.3"/>
    <row r="3287" hidden="1" x14ac:dyDescent="0.3"/>
    <row r="3288" hidden="1" x14ac:dyDescent="0.3"/>
    <row r="3289" hidden="1" x14ac:dyDescent="0.3"/>
    <row r="3290" hidden="1" x14ac:dyDescent="0.3"/>
    <row r="3291" hidden="1" x14ac:dyDescent="0.3"/>
    <row r="3292" hidden="1" x14ac:dyDescent="0.3"/>
    <row r="3293" hidden="1" x14ac:dyDescent="0.3"/>
    <row r="3294" hidden="1" x14ac:dyDescent="0.3"/>
    <row r="3295" hidden="1" x14ac:dyDescent="0.3"/>
    <row r="3296" hidden="1" x14ac:dyDescent="0.3"/>
    <row r="3297" hidden="1" x14ac:dyDescent="0.3"/>
    <row r="3298" hidden="1" x14ac:dyDescent="0.3"/>
    <row r="3299" hidden="1" x14ac:dyDescent="0.3"/>
    <row r="3300" hidden="1" x14ac:dyDescent="0.3"/>
    <row r="3301" hidden="1" x14ac:dyDescent="0.3"/>
    <row r="3302" hidden="1" x14ac:dyDescent="0.3"/>
    <row r="3303" hidden="1" x14ac:dyDescent="0.3"/>
    <row r="3304" hidden="1" x14ac:dyDescent="0.3"/>
    <row r="3305" hidden="1" x14ac:dyDescent="0.3"/>
    <row r="3306" hidden="1" x14ac:dyDescent="0.3"/>
    <row r="3307" hidden="1" x14ac:dyDescent="0.3"/>
    <row r="3308" hidden="1" x14ac:dyDescent="0.3"/>
    <row r="3309" hidden="1" x14ac:dyDescent="0.3"/>
    <row r="3310" hidden="1" x14ac:dyDescent="0.3"/>
    <row r="3311" hidden="1" x14ac:dyDescent="0.3"/>
    <row r="3312" hidden="1" x14ac:dyDescent="0.3"/>
    <row r="3313" hidden="1" x14ac:dyDescent="0.3"/>
    <row r="3314" hidden="1" x14ac:dyDescent="0.3"/>
    <row r="3315" hidden="1" x14ac:dyDescent="0.3"/>
    <row r="3316" hidden="1" x14ac:dyDescent="0.3"/>
    <row r="3317" hidden="1" x14ac:dyDescent="0.3"/>
    <row r="3318" hidden="1" x14ac:dyDescent="0.3"/>
    <row r="3319" hidden="1" x14ac:dyDescent="0.3"/>
    <row r="3320" hidden="1" x14ac:dyDescent="0.3"/>
    <row r="3321" hidden="1" x14ac:dyDescent="0.3"/>
    <row r="3322" hidden="1" x14ac:dyDescent="0.3"/>
    <row r="3323" hidden="1" x14ac:dyDescent="0.3"/>
    <row r="3324" hidden="1" x14ac:dyDescent="0.3"/>
    <row r="3325" hidden="1" x14ac:dyDescent="0.3"/>
    <row r="3326" hidden="1" x14ac:dyDescent="0.3"/>
    <row r="3327" hidden="1" x14ac:dyDescent="0.3"/>
    <row r="3328" hidden="1" x14ac:dyDescent="0.3"/>
    <row r="3329" hidden="1" x14ac:dyDescent="0.3"/>
    <row r="3330" hidden="1" x14ac:dyDescent="0.3"/>
    <row r="3331" hidden="1" x14ac:dyDescent="0.3"/>
    <row r="3332" hidden="1" x14ac:dyDescent="0.3"/>
    <row r="3333" hidden="1" x14ac:dyDescent="0.3"/>
    <row r="3334" hidden="1" x14ac:dyDescent="0.3"/>
    <row r="3335" hidden="1" x14ac:dyDescent="0.3"/>
    <row r="3336" hidden="1" x14ac:dyDescent="0.3"/>
    <row r="3337" hidden="1" x14ac:dyDescent="0.3"/>
    <row r="3338" hidden="1" x14ac:dyDescent="0.3"/>
    <row r="3339" hidden="1" x14ac:dyDescent="0.3"/>
    <row r="3340" hidden="1" x14ac:dyDescent="0.3"/>
    <row r="3341" hidden="1" x14ac:dyDescent="0.3"/>
    <row r="3342" hidden="1" x14ac:dyDescent="0.3"/>
    <row r="3343" hidden="1" x14ac:dyDescent="0.3"/>
    <row r="3344" hidden="1" x14ac:dyDescent="0.3"/>
    <row r="3345" hidden="1" x14ac:dyDescent="0.3"/>
    <row r="3346" hidden="1" x14ac:dyDescent="0.3"/>
    <row r="3347" hidden="1" x14ac:dyDescent="0.3"/>
    <row r="3348" hidden="1" x14ac:dyDescent="0.3"/>
    <row r="3349" hidden="1" x14ac:dyDescent="0.3"/>
    <row r="3350" hidden="1" x14ac:dyDescent="0.3"/>
    <row r="3351" hidden="1" x14ac:dyDescent="0.3"/>
    <row r="3352" hidden="1" x14ac:dyDescent="0.3"/>
    <row r="3353" hidden="1" x14ac:dyDescent="0.3"/>
    <row r="3354" hidden="1" x14ac:dyDescent="0.3"/>
    <row r="3355" hidden="1" x14ac:dyDescent="0.3"/>
    <row r="3356" hidden="1" x14ac:dyDescent="0.3"/>
    <row r="3357" hidden="1" x14ac:dyDescent="0.3"/>
    <row r="3358" hidden="1" x14ac:dyDescent="0.3"/>
    <row r="3359" hidden="1" x14ac:dyDescent="0.3"/>
    <row r="3360" hidden="1" x14ac:dyDescent="0.3"/>
    <row r="3361" hidden="1" x14ac:dyDescent="0.3"/>
    <row r="3362" hidden="1" x14ac:dyDescent="0.3"/>
    <row r="3363" hidden="1" x14ac:dyDescent="0.3"/>
    <row r="3364" hidden="1" x14ac:dyDescent="0.3"/>
    <row r="3365" hidden="1" x14ac:dyDescent="0.3"/>
    <row r="3366" hidden="1" x14ac:dyDescent="0.3"/>
    <row r="3367" hidden="1" x14ac:dyDescent="0.3"/>
    <row r="3368" hidden="1" x14ac:dyDescent="0.3"/>
    <row r="3369" hidden="1" x14ac:dyDescent="0.3"/>
    <row r="3370" hidden="1" x14ac:dyDescent="0.3"/>
    <row r="3371" hidden="1" x14ac:dyDescent="0.3"/>
    <row r="3372" hidden="1" x14ac:dyDescent="0.3"/>
    <row r="3373" hidden="1" x14ac:dyDescent="0.3"/>
    <row r="3374" hidden="1" x14ac:dyDescent="0.3"/>
    <row r="3375" hidden="1" x14ac:dyDescent="0.3"/>
    <row r="3376" hidden="1" x14ac:dyDescent="0.3"/>
    <row r="3377" hidden="1" x14ac:dyDescent="0.3"/>
    <row r="3378" hidden="1" x14ac:dyDescent="0.3"/>
    <row r="3379" hidden="1" x14ac:dyDescent="0.3"/>
    <row r="3380" hidden="1" x14ac:dyDescent="0.3"/>
    <row r="3381" hidden="1" x14ac:dyDescent="0.3"/>
    <row r="3382" hidden="1" x14ac:dyDescent="0.3"/>
    <row r="3383" hidden="1" x14ac:dyDescent="0.3"/>
    <row r="3384" hidden="1" x14ac:dyDescent="0.3"/>
    <row r="3385" hidden="1" x14ac:dyDescent="0.3"/>
    <row r="3386" hidden="1" x14ac:dyDescent="0.3"/>
    <row r="3387" hidden="1" x14ac:dyDescent="0.3"/>
    <row r="3388" hidden="1" x14ac:dyDescent="0.3"/>
    <row r="3389" hidden="1" x14ac:dyDescent="0.3"/>
    <row r="3390" hidden="1" x14ac:dyDescent="0.3"/>
    <row r="3391" hidden="1" x14ac:dyDescent="0.3"/>
    <row r="3392" hidden="1" x14ac:dyDescent="0.3"/>
    <row r="3393" hidden="1" x14ac:dyDescent="0.3"/>
    <row r="3394" hidden="1" x14ac:dyDescent="0.3"/>
    <row r="3395" hidden="1" x14ac:dyDescent="0.3"/>
    <row r="3396" hidden="1" x14ac:dyDescent="0.3"/>
    <row r="3397" hidden="1" x14ac:dyDescent="0.3"/>
    <row r="3398" hidden="1" x14ac:dyDescent="0.3"/>
    <row r="3399" hidden="1" x14ac:dyDescent="0.3"/>
    <row r="3400" hidden="1" x14ac:dyDescent="0.3"/>
    <row r="3401" hidden="1" x14ac:dyDescent="0.3"/>
    <row r="3402" hidden="1" x14ac:dyDescent="0.3"/>
    <row r="3403" hidden="1" x14ac:dyDescent="0.3"/>
    <row r="3404" hidden="1" x14ac:dyDescent="0.3"/>
    <row r="3405" hidden="1" x14ac:dyDescent="0.3"/>
    <row r="3406" hidden="1" x14ac:dyDescent="0.3"/>
    <row r="3407" hidden="1" x14ac:dyDescent="0.3"/>
    <row r="3408" hidden="1" x14ac:dyDescent="0.3"/>
    <row r="3409" hidden="1" x14ac:dyDescent="0.3"/>
    <row r="3410" hidden="1" x14ac:dyDescent="0.3"/>
    <row r="3411" hidden="1" x14ac:dyDescent="0.3"/>
    <row r="3412" hidden="1" x14ac:dyDescent="0.3"/>
    <row r="3413" hidden="1" x14ac:dyDescent="0.3"/>
    <row r="3414" hidden="1" x14ac:dyDescent="0.3"/>
    <row r="3415" hidden="1" x14ac:dyDescent="0.3"/>
    <row r="3416" hidden="1" x14ac:dyDescent="0.3"/>
    <row r="3417" hidden="1" x14ac:dyDescent="0.3"/>
    <row r="3418" hidden="1" x14ac:dyDescent="0.3"/>
    <row r="3419" hidden="1" x14ac:dyDescent="0.3"/>
    <row r="3420" hidden="1" x14ac:dyDescent="0.3"/>
    <row r="3421" hidden="1" x14ac:dyDescent="0.3"/>
    <row r="3422" hidden="1" x14ac:dyDescent="0.3"/>
    <row r="3423" hidden="1" x14ac:dyDescent="0.3"/>
    <row r="3424" hidden="1" x14ac:dyDescent="0.3"/>
    <row r="3425" hidden="1" x14ac:dyDescent="0.3"/>
    <row r="3426" hidden="1" x14ac:dyDescent="0.3"/>
    <row r="3427" hidden="1" x14ac:dyDescent="0.3"/>
    <row r="3428" hidden="1" x14ac:dyDescent="0.3"/>
    <row r="3429" hidden="1" x14ac:dyDescent="0.3"/>
    <row r="3430" hidden="1" x14ac:dyDescent="0.3"/>
    <row r="3431" hidden="1" x14ac:dyDescent="0.3"/>
    <row r="3432" hidden="1" x14ac:dyDescent="0.3"/>
    <row r="3433" hidden="1" x14ac:dyDescent="0.3"/>
    <row r="3434" hidden="1" x14ac:dyDescent="0.3"/>
    <row r="3435" hidden="1" x14ac:dyDescent="0.3"/>
    <row r="3436" hidden="1" x14ac:dyDescent="0.3"/>
    <row r="3437" hidden="1" x14ac:dyDescent="0.3"/>
    <row r="3438" hidden="1" x14ac:dyDescent="0.3"/>
    <row r="3439" hidden="1" x14ac:dyDescent="0.3"/>
    <row r="3440" hidden="1" x14ac:dyDescent="0.3"/>
    <row r="3441" hidden="1" x14ac:dyDescent="0.3"/>
    <row r="3442" hidden="1" x14ac:dyDescent="0.3"/>
    <row r="3443" hidden="1" x14ac:dyDescent="0.3"/>
    <row r="3444" hidden="1" x14ac:dyDescent="0.3"/>
    <row r="3445" hidden="1" x14ac:dyDescent="0.3"/>
    <row r="3446" hidden="1" x14ac:dyDescent="0.3"/>
    <row r="3447" hidden="1" x14ac:dyDescent="0.3"/>
    <row r="3448" hidden="1" x14ac:dyDescent="0.3"/>
    <row r="3449" hidden="1" x14ac:dyDescent="0.3"/>
    <row r="3450" hidden="1" x14ac:dyDescent="0.3"/>
    <row r="3451" hidden="1" x14ac:dyDescent="0.3"/>
    <row r="3452" hidden="1" x14ac:dyDescent="0.3"/>
    <row r="3453" hidden="1" x14ac:dyDescent="0.3"/>
    <row r="3454" hidden="1" x14ac:dyDescent="0.3"/>
    <row r="3455" hidden="1" x14ac:dyDescent="0.3"/>
    <row r="3456" hidden="1" x14ac:dyDescent="0.3"/>
    <row r="3457" hidden="1" x14ac:dyDescent="0.3"/>
    <row r="3458" hidden="1" x14ac:dyDescent="0.3"/>
    <row r="3459" hidden="1" x14ac:dyDescent="0.3"/>
    <row r="3460" hidden="1" x14ac:dyDescent="0.3"/>
    <row r="3461" hidden="1" x14ac:dyDescent="0.3"/>
    <row r="3462" hidden="1" x14ac:dyDescent="0.3"/>
    <row r="3463" hidden="1" x14ac:dyDescent="0.3"/>
    <row r="3464" hidden="1" x14ac:dyDescent="0.3"/>
    <row r="3465" hidden="1" x14ac:dyDescent="0.3"/>
    <row r="3466" hidden="1" x14ac:dyDescent="0.3"/>
    <row r="3467" hidden="1" x14ac:dyDescent="0.3"/>
    <row r="3468" hidden="1" x14ac:dyDescent="0.3"/>
    <row r="3469" hidden="1" x14ac:dyDescent="0.3"/>
    <row r="3470" hidden="1" x14ac:dyDescent="0.3"/>
    <row r="3471" hidden="1" x14ac:dyDescent="0.3"/>
    <row r="3472" hidden="1" x14ac:dyDescent="0.3"/>
    <row r="3473" hidden="1" x14ac:dyDescent="0.3"/>
    <row r="3474" hidden="1" x14ac:dyDescent="0.3"/>
    <row r="3475" hidden="1" x14ac:dyDescent="0.3"/>
    <row r="3476" hidden="1" x14ac:dyDescent="0.3"/>
    <row r="3477" hidden="1" x14ac:dyDescent="0.3"/>
    <row r="3478" hidden="1" x14ac:dyDescent="0.3"/>
    <row r="3479" hidden="1" x14ac:dyDescent="0.3"/>
    <row r="3480" hidden="1" x14ac:dyDescent="0.3"/>
    <row r="3481" hidden="1" x14ac:dyDescent="0.3"/>
    <row r="3482" hidden="1" x14ac:dyDescent="0.3"/>
    <row r="3483" hidden="1" x14ac:dyDescent="0.3"/>
    <row r="3484" hidden="1" x14ac:dyDescent="0.3"/>
    <row r="3485" hidden="1" x14ac:dyDescent="0.3"/>
    <row r="3486" hidden="1" x14ac:dyDescent="0.3"/>
    <row r="3487" hidden="1" x14ac:dyDescent="0.3"/>
    <row r="3488" hidden="1" x14ac:dyDescent="0.3"/>
    <row r="3489" hidden="1" x14ac:dyDescent="0.3"/>
    <row r="3490" hidden="1" x14ac:dyDescent="0.3"/>
    <row r="3491" hidden="1" x14ac:dyDescent="0.3"/>
    <row r="3492" hidden="1" x14ac:dyDescent="0.3"/>
    <row r="3493" hidden="1" x14ac:dyDescent="0.3"/>
    <row r="3494" hidden="1" x14ac:dyDescent="0.3"/>
    <row r="3495" hidden="1" x14ac:dyDescent="0.3"/>
    <row r="3496" hidden="1" x14ac:dyDescent="0.3"/>
    <row r="3497" hidden="1" x14ac:dyDescent="0.3"/>
    <row r="3498" hidden="1" x14ac:dyDescent="0.3"/>
    <row r="3499" hidden="1" x14ac:dyDescent="0.3"/>
    <row r="3500" hidden="1" x14ac:dyDescent="0.3"/>
    <row r="3501" hidden="1" x14ac:dyDescent="0.3"/>
    <row r="3502" hidden="1" x14ac:dyDescent="0.3"/>
    <row r="3503" hidden="1" x14ac:dyDescent="0.3"/>
    <row r="3504" hidden="1" x14ac:dyDescent="0.3"/>
    <row r="3505" hidden="1" x14ac:dyDescent="0.3"/>
    <row r="3506" hidden="1" x14ac:dyDescent="0.3"/>
    <row r="3507" hidden="1" x14ac:dyDescent="0.3"/>
    <row r="3508" hidden="1" x14ac:dyDescent="0.3"/>
    <row r="3509" hidden="1" x14ac:dyDescent="0.3"/>
    <row r="3510" hidden="1" x14ac:dyDescent="0.3"/>
    <row r="3511" hidden="1" x14ac:dyDescent="0.3"/>
    <row r="3512" hidden="1" x14ac:dyDescent="0.3"/>
    <row r="3513" hidden="1" x14ac:dyDescent="0.3"/>
    <row r="3514" hidden="1" x14ac:dyDescent="0.3"/>
    <row r="3515" hidden="1" x14ac:dyDescent="0.3"/>
    <row r="3516" hidden="1" x14ac:dyDescent="0.3"/>
    <row r="3517" hidden="1" x14ac:dyDescent="0.3"/>
    <row r="3518" hidden="1" x14ac:dyDescent="0.3"/>
    <row r="3519" hidden="1" x14ac:dyDescent="0.3"/>
    <row r="3520" hidden="1" x14ac:dyDescent="0.3"/>
    <row r="3521" hidden="1" x14ac:dyDescent="0.3"/>
    <row r="3522" hidden="1" x14ac:dyDescent="0.3"/>
    <row r="3523" hidden="1" x14ac:dyDescent="0.3"/>
    <row r="3524" hidden="1" x14ac:dyDescent="0.3"/>
    <row r="3525" hidden="1" x14ac:dyDescent="0.3"/>
    <row r="3526" hidden="1" x14ac:dyDescent="0.3"/>
    <row r="3527" hidden="1" x14ac:dyDescent="0.3"/>
    <row r="3528" hidden="1" x14ac:dyDescent="0.3"/>
    <row r="3529" hidden="1" x14ac:dyDescent="0.3"/>
    <row r="3530" hidden="1" x14ac:dyDescent="0.3"/>
    <row r="3531" hidden="1" x14ac:dyDescent="0.3"/>
    <row r="3532" hidden="1" x14ac:dyDescent="0.3"/>
    <row r="3533" hidden="1" x14ac:dyDescent="0.3"/>
    <row r="3534" hidden="1" x14ac:dyDescent="0.3"/>
    <row r="3535" hidden="1" x14ac:dyDescent="0.3"/>
    <row r="3536" hidden="1" x14ac:dyDescent="0.3"/>
    <row r="3537" hidden="1" x14ac:dyDescent="0.3"/>
    <row r="3538" hidden="1" x14ac:dyDescent="0.3"/>
    <row r="3539" hidden="1" x14ac:dyDescent="0.3"/>
    <row r="3540" hidden="1" x14ac:dyDescent="0.3"/>
    <row r="3541" hidden="1" x14ac:dyDescent="0.3"/>
    <row r="3542" hidden="1" x14ac:dyDescent="0.3"/>
    <row r="3543" hidden="1" x14ac:dyDescent="0.3"/>
    <row r="3544" hidden="1" x14ac:dyDescent="0.3"/>
    <row r="3545" hidden="1" x14ac:dyDescent="0.3"/>
    <row r="3546" hidden="1" x14ac:dyDescent="0.3"/>
    <row r="3547" hidden="1" x14ac:dyDescent="0.3"/>
    <row r="3548" hidden="1" x14ac:dyDescent="0.3"/>
    <row r="3549" hidden="1" x14ac:dyDescent="0.3"/>
    <row r="3550" hidden="1" x14ac:dyDescent="0.3"/>
    <row r="3551" hidden="1" x14ac:dyDescent="0.3"/>
    <row r="3552" hidden="1" x14ac:dyDescent="0.3"/>
    <row r="3553" hidden="1" x14ac:dyDescent="0.3"/>
    <row r="3554" hidden="1" x14ac:dyDescent="0.3"/>
    <row r="3555" hidden="1" x14ac:dyDescent="0.3"/>
    <row r="3556" hidden="1" x14ac:dyDescent="0.3"/>
    <row r="3557" hidden="1" x14ac:dyDescent="0.3"/>
    <row r="3558" hidden="1" x14ac:dyDescent="0.3"/>
    <row r="3559" hidden="1" x14ac:dyDescent="0.3"/>
    <row r="3560" hidden="1" x14ac:dyDescent="0.3"/>
    <row r="3561" hidden="1" x14ac:dyDescent="0.3"/>
    <row r="3562" hidden="1" x14ac:dyDescent="0.3"/>
    <row r="3563" hidden="1" x14ac:dyDescent="0.3"/>
    <row r="3564" hidden="1" x14ac:dyDescent="0.3"/>
    <row r="3565" hidden="1" x14ac:dyDescent="0.3"/>
    <row r="3566" hidden="1" x14ac:dyDescent="0.3"/>
    <row r="3567" hidden="1" x14ac:dyDescent="0.3"/>
    <row r="3568" hidden="1" x14ac:dyDescent="0.3"/>
    <row r="3569" hidden="1" x14ac:dyDescent="0.3"/>
    <row r="3570" hidden="1" x14ac:dyDescent="0.3"/>
    <row r="3571" hidden="1" x14ac:dyDescent="0.3"/>
    <row r="3572" hidden="1" x14ac:dyDescent="0.3"/>
    <row r="3573" hidden="1" x14ac:dyDescent="0.3"/>
    <row r="3574" hidden="1" x14ac:dyDescent="0.3"/>
    <row r="3575" hidden="1" x14ac:dyDescent="0.3"/>
    <row r="3576" hidden="1" x14ac:dyDescent="0.3"/>
    <row r="3577" hidden="1" x14ac:dyDescent="0.3"/>
    <row r="3578" hidden="1" x14ac:dyDescent="0.3"/>
    <row r="3579" hidden="1" x14ac:dyDescent="0.3"/>
    <row r="3580" hidden="1" x14ac:dyDescent="0.3"/>
    <row r="3581" hidden="1" x14ac:dyDescent="0.3"/>
    <row r="3582" hidden="1" x14ac:dyDescent="0.3"/>
    <row r="3583" hidden="1" x14ac:dyDescent="0.3"/>
    <row r="3584" hidden="1" x14ac:dyDescent="0.3"/>
    <row r="3585" hidden="1" x14ac:dyDescent="0.3"/>
    <row r="3586" hidden="1" x14ac:dyDescent="0.3"/>
    <row r="3587" hidden="1" x14ac:dyDescent="0.3"/>
    <row r="3588" hidden="1" x14ac:dyDescent="0.3"/>
    <row r="3589" hidden="1" x14ac:dyDescent="0.3"/>
    <row r="3590" hidden="1" x14ac:dyDescent="0.3"/>
    <row r="3591" hidden="1" x14ac:dyDescent="0.3"/>
    <row r="3592" hidden="1" x14ac:dyDescent="0.3"/>
    <row r="3593" hidden="1" x14ac:dyDescent="0.3"/>
    <row r="3594" hidden="1" x14ac:dyDescent="0.3"/>
    <row r="3595" hidden="1" x14ac:dyDescent="0.3"/>
    <row r="3596" hidden="1" x14ac:dyDescent="0.3"/>
    <row r="3597" hidden="1" x14ac:dyDescent="0.3"/>
    <row r="3598" hidden="1" x14ac:dyDescent="0.3"/>
    <row r="3599" hidden="1" x14ac:dyDescent="0.3"/>
    <row r="3600" hidden="1" x14ac:dyDescent="0.3"/>
    <row r="3601" hidden="1" x14ac:dyDescent="0.3"/>
    <row r="3602" hidden="1" x14ac:dyDescent="0.3"/>
    <row r="3603" hidden="1" x14ac:dyDescent="0.3"/>
    <row r="3604" hidden="1" x14ac:dyDescent="0.3"/>
    <row r="3605" hidden="1" x14ac:dyDescent="0.3"/>
    <row r="3606" hidden="1" x14ac:dyDescent="0.3"/>
    <row r="3607" hidden="1" x14ac:dyDescent="0.3"/>
    <row r="3608" hidden="1" x14ac:dyDescent="0.3"/>
    <row r="3609" hidden="1" x14ac:dyDescent="0.3"/>
    <row r="3610" hidden="1" x14ac:dyDescent="0.3"/>
    <row r="3611" hidden="1" x14ac:dyDescent="0.3"/>
    <row r="3612" hidden="1" x14ac:dyDescent="0.3"/>
    <row r="3613" hidden="1" x14ac:dyDescent="0.3"/>
    <row r="3614" hidden="1" x14ac:dyDescent="0.3"/>
    <row r="3615" hidden="1" x14ac:dyDescent="0.3"/>
    <row r="3616" hidden="1" x14ac:dyDescent="0.3"/>
    <row r="3617" hidden="1" x14ac:dyDescent="0.3"/>
    <row r="3618" hidden="1" x14ac:dyDescent="0.3"/>
    <row r="3619" hidden="1" x14ac:dyDescent="0.3"/>
    <row r="3620" hidden="1" x14ac:dyDescent="0.3"/>
    <row r="3621" hidden="1" x14ac:dyDescent="0.3"/>
    <row r="3622" hidden="1" x14ac:dyDescent="0.3"/>
    <row r="3623" hidden="1" x14ac:dyDescent="0.3"/>
    <row r="3624" hidden="1" x14ac:dyDescent="0.3"/>
    <row r="3625" hidden="1" x14ac:dyDescent="0.3"/>
    <row r="3626" hidden="1" x14ac:dyDescent="0.3"/>
    <row r="3627" hidden="1" x14ac:dyDescent="0.3"/>
    <row r="3628" hidden="1" x14ac:dyDescent="0.3"/>
    <row r="3629" hidden="1" x14ac:dyDescent="0.3"/>
    <row r="3630" hidden="1" x14ac:dyDescent="0.3"/>
    <row r="3631" hidden="1" x14ac:dyDescent="0.3"/>
    <row r="3632" hidden="1" x14ac:dyDescent="0.3"/>
    <row r="3633" hidden="1" x14ac:dyDescent="0.3"/>
    <row r="3634" hidden="1" x14ac:dyDescent="0.3"/>
    <row r="3635" hidden="1" x14ac:dyDescent="0.3"/>
    <row r="3636" hidden="1" x14ac:dyDescent="0.3"/>
    <row r="3637" hidden="1" x14ac:dyDescent="0.3"/>
    <row r="3638" hidden="1" x14ac:dyDescent="0.3"/>
    <row r="3639" hidden="1" x14ac:dyDescent="0.3"/>
    <row r="3640" hidden="1" x14ac:dyDescent="0.3"/>
    <row r="3641" hidden="1" x14ac:dyDescent="0.3"/>
    <row r="3642" hidden="1" x14ac:dyDescent="0.3"/>
    <row r="3643" hidden="1" x14ac:dyDescent="0.3"/>
    <row r="3644" hidden="1" x14ac:dyDescent="0.3"/>
    <row r="3645" hidden="1" x14ac:dyDescent="0.3"/>
    <row r="3646" hidden="1" x14ac:dyDescent="0.3"/>
    <row r="3647" hidden="1" x14ac:dyDescent="0.3"/>
    <row r="3648" hidden="1" x14ac:dyDescent="0.3"/>
    <row r="3649" hidden="1" x14ac:dyDescent="0.3"/>
    <row r="3650" hidden="1" x14ac:dyDescent="0.3"/>
    <row r="3651" hidden="1" x14ac:dyDescent="0.3"/>
    <row r="3652" hidden="1" x14ac:dyDescent="0.3"/>
    <row r="3653" hidden="1" x14ac:dyDescent="0.3"/>
    <row r="3654" hidden="1" x14ac:dyDescent="0.3"/>
    <row r="3655" hidden="1" x14ac:dyDescent="0.3"/>
    <row r="3656" hidden="1" x14ac:dyDescent="0.3"/>
    <row r="3657" hidden="1" x14ac:dyDescent="0.3"/>
    <row r="3658" hidden="1" x14ac:dyDescent="0.3"/>
    <row r="3659" hidden="1" x14ac:dyDescent="0.3"/>
    <row r="3660" hidden="1" x14ac:dyDescent="0.3"/>
    <row r="3661" hidden="1" x14ac:dyDescent="0.3"/>
    <row r="3662" hidden="1" x14ac:dyDescent="0.3"/>
    <row r="3663" hidden="1" x14ac:dyDescent="0.3"/>
    <row r="3664" hidden="1" x14ac:dyDescent="0.3"/>
    <row r="3665" hidden="1" x14ac:dyDescent="0.3"/>
    <row r="3666" hidden="1" x14ac:dyDescent="0.3"/>
    <row r="3667" hidden="1" x14ac:dyDescent="0.3"/>
    <row r="3668" hidden="1" x14ac:dyDescent="0.3"/>
    <row r="3669" hidden="1" x14ac:dyDescent="0.3"/>
    <row r="3670" hidden="1" x14ac:dyDescent="0.3"/>
    <row r="3671" hidden="1" x14ac:dyDescent="0.3"/>
    <row r="3672" hidden="1" x14ac:dyDescent="0.3"/>
    <row r="3673" hidden="1" x14ac:dyDescent="0.3"/>
    <row r="3674" hidden="1" x14ac:dyDescent="0.3"/>
    <row r="3675" hidden="1" x14ac:dyDescent="0.3"/>
    <row r="3676" hidden="1" x14ac:dyDescent="0.3"/>
    <row r="3677" hidden="1" x14ac:dyDescent="0.3"/>
    <row r="3678" hidden="1" x14ac:dyDescent="0.3"/>
    <row r="3679" hidden="1" x14ac:dyDescent="0.3"/>
    <row r="3680" hidden="1" x14ac:dyDescent="0.3"/>
    <row r="3681" hidden="1" x14ac:dyDescent="0.3"/>
    <row r="3682" hidden="1" x14ac:dyDescent="0.3"/>
    <row r="3683" hidden="1" x14ac:dyDescent="0.3"/>
    <row r="3684" hidden="1" x14ac:dyDescent="0.3"/>
    <row r="3685" hidden="1" x14ac:dyDescent="0.3"/>
    <row r="3686" hidden="1" x14ac:dyDescent="0.3"/>
    <row r="3687" hidden="1" x14ac:dyDescent="0.3"/>
    <row r="3688" hidden="1" x14ac:dyDescent="0.3"/>
    <row r="3689" hidden="1" x14ac:dyDescent="0.3"/>
    <row r="3690" hidden="1" x14ac:dyDescent="0.3"/>
    <row r="3691" hidden="1" x14ac:dyDescent="0.3"/>
    <row r="3692" hidden="1" x14ac:dyDescent="0.3"/>
    <row r="3693" hidden="1" x14ac:dyDescent="0.3"/>
    <row r="3694" hidden="1" x14ac:dyDescent="0.3"/>
    <row r="3695" hidden="1" x14ac:dyDescent="0.3"/>
    <row r="3696" hidden="1" x14ac:dyDescent="0.3"/>
    <row r="3697" hidden="1" x14ac:dyDescent="0.3"/>
    <row r="3698" hidden="1" x14ac:dyDescent="0.3"/>
    <row r="3699" hidden="1" x14ac:dyDescent="0.3"/>
    <row r="3700" hidden="1" x14ac:dyDescent="0.3"/>
    <row r="3701" hidden="1" x14ac:dyDescent="0.3"/>
    <row r="3702" hidden="1" x14ac:dyDescent="0.3"/>
    <row r="3703" hidden="1" x14ac:dyDescent="0.3"/>
    <row r="3704" hidden="1" x14ac:dyDescent="0.3"/>
    <row r="3705" hidden="1" x14ac:dyDescent="0.3"/>
    <row r="3706" hidden="1" x14ac:dyDescent="0.3"/>
    <row r="3707" hidden="1" x14ac:dyDescent="0.3"/>
    <row r="3708" hidden="1" x14ac:dyDescent="0.3"/>
    <row r="3709" hidden="1" x14ac:dyDescent="0.3"/>
    <row r="3710" hidden="1" x14ac:dyDescent="0.3"/>
    <row r="3711" hidden="1" x14ac:dyDescent="0.3"/>
    <row r="3712" hidden="1" x14ac:dyDescent="0.3"/>
    <row r="3713" hidden="1" x14ac:dyDescent="0.3"/>
    <row r="3714" hidden="1" x14ac:dyDescent="0.3"/>
    <row r="3715" hidden="1" x14ac:dyDescent="0.3"/>
    <row r="3716" hidden="1" x14ac:dyDescent="0.3"/>
    <row r="3717" hidden="1" x14ac:dyDescent="0.3"/>
    <row r="3718" hidden="1" x14ac:dyDescent="0.3"/>
    <row r="3719" hidden="1" x14ac:dyDescent="0.3"/>
    <row r="3720" hidden="1" x14ac:dyDescent="0.3"/>
    <row r="3721" hidden="1" x14ac:dyDescent="0.3"/>
    <row r="3722" hidden="1" x14ac:dyDescent="0.3"/>
    <row r="3723" hidden="1" x14ac:dyDescent="0.3"/>
    <row r="3724" hidden="1" x14ac:dyDescent="0.3"/>
    <row r="3725" hidden="1" x14ac:dyDescent="0.3"/>
    <row r="3726" hidden="1" x14ac:dyDescent="0.3"/>
    <row r="3727" hidden="1" x14ac:dyDescent="0.3"/>
    <row r="3728" hidden="1" x14ac:dyDescent="0.3"/>
    <row r="3729" hidden="1" x14ac:dyDescent="0.3"/>
    <row r="3730" hidden="1" x14ac:dyDescent="0.3"/>
    <row r="3731" hidden="1" x14ac:dyDescent="0.3"/>
    <row r="3732" hidden="1" x14ac:dyDescent="0.3"/>
    <row r="3733" hidden="1" x14ac:dyDescent="0.3"/>
    <row r="3734" hidden="1" x14ac:dyDescent="0.3"/>
    <row r="3735" hidden="1" x14ac:dyDescent="0.3"/>
    <row r="3736" hidden="1" x14ac:dyDescent="0.3"/>
    <row r="3737" hidden="1" x14ac:dyDescent="0.3"/>
    <row r="3738" hidden="1" x14ac:dyDescent="0.3"/>
    <row r="3739" hidden="1" x14ac:dyDescent="0.3"/>
    <row r="3740" hidden="1" x14ac:dyDescent="0.3"/>
    <row r="3741" hidden="1" x14ac:dyDescent="0.3"/>
    <row r="3742" hidden="1" x14ac:dyDescent="0.3"/>
    <row r="3743" hidden="1" x14ac:dyDescent="0.3"/>
    <row r="3744" hidden="1" x14ac:dyDescent="0.3"/>
    <row r="3745" hidden="1" x14ac:dyDescent="0.3"/>
    <row r="3746" hidden="1" x14ac:dyDescent="0.3"/>
    <row r="3747" hidden="1" x14ac:dyDescent="0.3"/>
    <row r="3748" hidden="1" x14ac:dyDescent="0.3"/>
    <row r="3749" hidden="1" x14ac:dyDescent="0.3"/>
    <row r="3750" hidden="1" x14ac:dyDescent="0.3"/>
    <row r="3751" hidden="1" x14ac:dyDescent="0.3"/>
    <row r="3752" hidden="1" x14ac:dyDescent="0.3"/>
    <row r="3753" hidden="1" x14ac:dyDescent="0.3"/>
    <row r="3754" hidden="1" x14ac:dyDescent="0.3"/>
    <row r="3755" hidden="1" x14ac:dyDescent="0.3"/>
    <row r="3756" hidden="1" x14ac:dyDescent="0.3"/>
    <row r="3757" hidden="1" x14ac:dyDescent="0.3"/>
    <row r="3758" hidden="1" x14ac:dyDescent="0.3"/>
    <row r="3759" hidden="1" x14ac:dyDescent="0.3"/>
    <row r="3760" hidden="1" x14ac:dyDescent="0.3"/>
    <row r="3761" hidden="1" x14ac:dyDescent="0.3"/>
    <row r="3762" hidden="1" x14ac:dyDescent="0.3"/>
    <row r="3763" hidden="1" x14ac:dyDescent="0.3"/>
    <row r="3764" hidden="1" x14ac:dyDescent="0.3"/>
    <row r="3765" hidden="1" x14ac:dyDescent="0.3"/>
    <row r="3766" hidden="1" x14ac:dyDescent="0.3"/>
    <row r="3767" hidden="1" x14ac:dyDescent="0.3"/>
    <row r="3768" hidden="1" x14ac:dyDescent="0.3"/>
    <row r="3769" hidden="1" x14ac:dyDescent="0.3"/>
    <row r="3770" hidden="1" x14ac:dyDescent="0.3"/>
    <row r="3771" hidden="1" x14ac:dyDescent="0.3"/>
    <row r="3772" hidden="1" x14ac:dyDescent="0.3"/>
    <row r="3773" hidden="1" x14ac:dyDescent="0.3"/>
    <row r="3774" hidden="1" x14ac:dyDescent="0.3"/>
    <row r="3775" hidden="1" x14ac:dyDescent="0.3"/>
    <row r="3776" hidden="1" x14ac:dyDescent="0.3"/>
    <row r="3777" hidden="1" x14ac:dyDescent="0.3"/>
    <row r="3778" hidden="1" x14ac:dyDescent="0.3"/>
    <row r="3779" hidden="1" x14ac:dyDescent="0.3"/>
    <row r="3780" hidden="1" x14ac:dyDescent="0.3"/>
    <row r="3781" hidden="1" x14ac:dyDescent="0.3"/>
    <row r="3782" hidden="1" x14ac:dyDescent="0.3"/>
    <row r="3783" hidden="1" x14ac:dyDescent="0.3"/>
    <row r="3784" hidden="1" x14ac:dyDescent="0.3"/>
    <row r="3785" hidden="1" x14ac:dyDescent="0.3"/>
    <row r="3786" hidden="1" x14ac:dyDescent="0.3"/>
    <row r="3787" hidden="1" x14ac:dyDescent="0.3"/>
    <row r="3788" hidden="1" x14ac:dyDescent="0.3"/>
    <row r="3789" hidden="1" x14ac:dyDescent="0.3"/>
    <row r="3790" hidden="1" x14ac:dyDescent="0.3"/>
    <row r="3791" hidden="1" x14ac:dyDescent="0.3"/>
    <row r="3792" hidden="1" x14ac:dyDescent="0.3"/>
    <row r="3793" hidden="1" x14ac:dyDescent="0.3"/>
    <row r="3794" hidden="1" x14ac:dyDescent="0.3"/>
    <row r="3795" hidden="1" x14ac:dyDescent="0.3"/>
    <row r="3796" hidden="1" x14ac:dyDescent="0.3"/>
    <row r="3797" hidden="1" x14ac:dyDescent="0.3"/>
    <row r="3798" hidden="1" x14ac:dyDescent="0.3"/>
    <row r="3799" hidden="1" x14ac:dyDescent="0.3"/>
    <row r="3800" hidden="1" x14ac:dyDescent="0.3"/>
    <row r="3801" hidden="1" x14ac:dyDescent="0.3"/>
    <row r="3802" hidden="1" x14ac:dyDescent="0.3"/>
    <row r="3803" hidden="1" x14ac:dyDescent="0.3"/>
    <row r="3804" hidden="1" x14ac:dyDescent="0.3"/>
    <row r="3805" hidden="1" x14ac:dyDescent="0.3"/>
    <row r="3806" hidden="1" x14ac:dyDescent="0.3"/>
    <row r="3807" hidden="1" x14ac:dyDescent="0.3"/>
    <row r="3808" hidden="1" x14ac:dyDescent="0.3"/>
    <row r="3809" hidden="1" x14ac:dyDescent="0.3"/>
    <row r="3810" hidden="1" x14ac:dyDescent="0.3"/>
    <row r="3811" hidden="1" x14ac:dyDescent="0.3"/>
    <row r="3812" hidden="1" x14ac:dyDescent="0.3"/>
    <row r="3813" hidden="1" x14ac:dyDescent="0.3"/>
    <row r="3814" hidden="1" x14ac:dyDescent="0.3"/>
    <row r="3815" hidden="1" x14ac:dyDescent="0.3"/>
    <row r="3816" hidden="1" x14ac:dyDescent="0.3"/>
    <row r="3817" hidden="1" x14ac:dyDescent="0.3"/>
    <row r="3818" hidden="1" x14ac:dyDescent="0.3"/>
    <row r="3819" hidden="1" x14ac:dyDescent="0.3"/>
    <row r="3820" hidden="1" x14ac:dyDescent="0.3"/>
    <row r="3821" hidden="1" x14ac:dyDescent="0.3"/>
    <row r="3822" hidden="1" x14ac:dyDescent="0.3"/>
    <row r="3823" hidden="1" x14ac:dyDescent="0.3"/>
    <row r="3824" hidden="1" x14ac:dyDescent="0.3"/>
    <row r="3825" hidden="1" x14ac:dyDescent="0.3"/>
    <row r="3826" hidden="1" x14ac:dyDescent="0.3"/>
    <row r="3827" hidden="1" x14ac:dyDescent="0.3"/>
    <row r="3828" hidden="1" x14ac:dyDescent="0.3"/>
    <row r="3829" hidden="1" x14ac:dyDescent="0.3"/>
    <row r="3830" hidden="1" x14ac:dyDescent="0.3"/>
    <row r="3831" hidden="1" x14ac:dyDescent="0.3"/>
    <row r="3832" hidden="1" x14ac:dyDescent="0.3"/>
    <row r="3833" hidden="1" x14ac:dyDescent="0.3"/>
    <row r="3834" hidden="1" x14ac:dyDescent="0.3"/>
    <row r="3835" hidden="1" x14ac:dyDescent="0.3"/>
    <row r="3836" hidden="1" x14ac:dyDescent="0.3"/>
    <row r="3837" hidden="1" x14ac:dyDescent="0.3"/>
    <row r="3838" hidden="1" x14ac:dyDescent="0.3"/>
    <row r="3839" hidden="1" x14ac:dyDescent="0.3"/>
    <row r="3840" hidden="1" x14ac:dyDescent="0.3"/>
    <row r="3841" hidden="1" x14ac:dyDescent="0.3"/>
    <row r="3842" hidden="1" x14ac:dyDescent="0.3"/>
    <row r="3843" hidden="1" x14ac:dyDescent="0.3"/>
    <row r="3844" hidden="1" x14ac:dyDescent="0.3"/>
    <row r="3845" hidden="1" x14ac:dyDescent="0.3"/>
    <row r="3846" hidden="1" x14ac:dyDescent="0.3"/>
    <row r="3847" hidden="1" x14ac:dyDescent="0.3"/>
    <row r="3848" hidden="1" x14ac:dyDescent="0.3"/>
    <row r="3849" hidden="1" x14ac:dyDescent="0.3"/>
    <row r="3850" hidden="1" x14ac:dyDescent="0.3"/>
    <row r="3851" hidden="1" x14ac:dyDescent="0.3"/>
    <row r="3852" hidden="1" x14ac:dyDescent="0.3"/>
    <row r="3853" hidden="1" x14ac:dyDescent="0.3"/>
    <row r="3854" hidden="1" x14ac:dyDescent="0.3"/>
    <row r="3855" hidden="1" x14ac:dyDescent="0.3"/>
    <row r="3856" hidden="1" x14ac:dyDescent="0.3"/>
    <row r="3857" hidden="1" x14ac:dyDescent="0.3"/>
    <row r="3858" hidden="1" x14ac:dyDescent="0.3"/>
    <row r="3859" hidden="1" x14ac:dyDescent="0.3"/>
    <row r="3860" hidden="1" x14ac:dyDescent="0.3"/>
    <row r="3861" hidden="1" x14ac:dyDescent="0.3"/>
    <row r="3862" hidden="1" x14ac:dyDescent="0.3"/>
    <row r="3863" hidden="1" x14ac:dyDescent="0.3"/>
    <row r="3864" hidden="1" x14ac:dyDescent="0.3"/>
    <row r="3865" hidden="1" x14ac:dyDescent="0.3"/>
    <row r="3866" hidden="1" x14ac:dyDescent="0.3"/>
    <row r="3867" hidden="1" x14ac:dyDescent="0.3"/>
    <row r="3868" hidden="1" x14ac:dyDescent="0.3"/>
    <row r="3869" hidden="1" x14ac:dyDescent="0.3"/>
    <row r="3870" hidden="1" x14ac:dyDescent="0.3"/>
    <row r="3871" hidden="1" x14ac:dyDescent="0.3"/>
    <row r="3872" hidden="1" x14ac:dyDescent="0.3"/>
    <row r="3873" hidden="1" x14ac:dyDescent="0.3"/>
    <row r="3874" hidden="1" x14ac:dyDescent="0.3"/>
    <row r="3875" hidden="1" x14ac:dyDescent="0.3"/>
    <row r="3876" hidden="1" x14ac:dyDescent="0.3"/>
    <row r="3877" hidden="1" x14ac:dyDescent="0.3"/>
    <row r="3878" hidden="1" x14ac:dyDescent="0.3"/>
    <row r="3879" hidden="1" x14ac:dyDescent="0.3"/>
    <row r="3880" hidden="1" x14ac:dyDescent="0.3"/>
    <row r="3881" hidden="1" x14ac:dyDescent="0.3"/>
    <row r="3882" hidden="1" x14ac:dyDescent="0.3"/>
    <row r="3883" hidden="1" x14ac:dyDescent="0.3"/>
    <row r="3884" hidden="1" x14ac:dyDescent="0.3"/>
    <row r="3885" hidden="1" x14ac:dyDescent="0.3"/>
    <row r="3886" hidden="1" x14ac:dyDescent="0.3"/>
    <row r="3887" hidden="1" x14ac:dyDescent="0.3"/>
    <row r="3888" hidden="1" x14ac:dyDescent="0.3"/>
    <row r="3889" hidden="1" x14ac:dyDescent="0.3"/>
    <row r="3890" hidden="1" x14ac:dyDescent="0.3"/>
    <row r="3891" hidden="1" x14ac:dyDescent="0.3"/>
    <row r="3892" hidden="1" x14ac:dyDescent="0.3"/>
    <row r="3893" hidden="1" x14ac:dyDescent="0.3"/>
    <row r="3894" hidden="1" x14ac:dyDescent="0.3"/>
    <row r="3895" hidden="1" x14ac:dyDescent="0.3"/>
    <row r="3896" hidden="1" x14ac:dyDescent="0.3"/>
    <row r="3897" hidden="1" x14ac:dyDescent="0.3"/>
    <row r="3898" hidden="1" x14ac:dyDescent="0.3"/>
    <row r="3899" hidden="1" x14ac:dyDescent="0.3"/>
    <row r="3900" hidden="1" x14ac:dyDescent="0.3"/>
    <row r="3901" hidden="1" x14ac:dyDescent="0.3"/>
    <row r="3902" hidden="1" x14ac:dyDescent="0.3"/>
    <row r="3903" hidden="1" x14ac:dyDescent="0.3"/>
    <row r="3904" hidden="1" x14ac:dyDescent="0.3"/>
    <row r="3905" hidden="1" x14ac:dyDescent="0.3"/>
    <row r="3906" hidden="1" x14ac:dyDescent="0.3"/>
    <row r="3907" hidden="1" x14ac:dyDescent="0.3"/>
    <row r="3908" hidden="1" x14ac:dyDescent="0.3"/>
    <row r="3909" hidden="1" x14ac:dyDescent="0.3"/>
    <row r="3910" hidden="1" x14ac:dyDescent="0.3"/>
    <row r="3911" hidden="1" x14ac:dyDescent="0.3"/>
    <row r="3912" hidden="1" x14ac:dyDescent="0.3"/>
    <row r="3913" hidden="1" x14ac:dyDescent="0.3"/>
    <row r="3914" hidden="1" x14ac:dyDescent="0.3"/>
    <row r="3915" hidden="1" x14ac:dyDescent="0.3"/>
    <row r="3916" hidden="1" x14ac:dyDescent="0.3"/>
    <row r="3917" hidden="1" x14ac:dyDescent="0.3"/>
    <row r="3918" hidden="1" x14ac:dyDescent="0.3"/>
    <row r="3919" hidden="1" x14ac:dyDescent="0.3"/>
    <row r="3920" hidden="1" x14ac:dyDescent="0.3"/>
    <row r="3921" hidden="1" x14ac:dyDescent="0.3"/>
    <row r="3922" hidden="1" x14ac:dyDescent="0.3"/>
    <row r="3923" hidden="1" x14ac:dyDescent="0.3"/>
    <row r="3924" hidden="1" x14ac:dyDescent="0.3"/>
    <row r="3925" hidden="1" x14ac:dyDescent="0.3"/>
    <row r="3926" hidden="1" x14ac:dyDescent="0.3"/>
    <row r="3927" hidden="1" x14ac:dyDescent="0.3"/>
    <row r="3928" hidden="1" x14ac:dyDescent="0.3"/>
    <row r="3929" hidden="1" x14ac:dyDescent="0.3"/>
    <row r="3930" hidden="1" x14ac:dyDescent="0.3"/>
    <row r="3931" hidden="1" x14ac:dyDescent="0.3"/>
    <row r="3932" hidden="1" x14ac:dyDescent="0.3"/>
    <row r="3933" hidden="1" x14ac:dyDescent="0.3"/>
    <row r="3934" hidden="1" x14ac:dyDescent="0.3"/>
    <row r="3935" hidden="1" x14ac:dyDescent="0.3"/>
    <row r="3936" hidden="1" x14ac:dyDescent="0.3"/>
    <row r="3937" hidden="1" x14ac:dyDescent="0.3"/>
    <row r="3938" hidden="1" x14ac:dyDescent="0.3"/>
    <row r="3939" hidden="1" x14ac:dyDescent="0.3"/>
    <row r="3940" hidden="1" x14ac:dyDescent="0.3"/>
    <row r="3941" hidden="1" x14ac:dyDescent="0.3"/>
    <row r="3942" hidden="1" x14ac:dyDescent="0.3"/>
    <row r="3943" hidden="1" x14ac:dyDescent="0.3"/>
    <row r="3944" hidden="1" x14ac:dyDescent="0.3"/>
    <row r="3945" hidden="1" x14ac:dyDescent="0.3"/>
    <row r="3946" hidden="1" x14ac:dyDescent="0.3"/>
    <row r="3947" hidden="1" x14ac:dyDescent="0.3"/>
    <row r="3948" hidden="1" x14ac:dyDescent="0.3"/>
    <row r="3949" hidden="1" x14ac:dyDescent="0.3"/>
    <row r="3950" hidden="1" x14ac:dyDescent="0.3"/>
    <row r="3951" hidden="1" x14ac:dyDescent="0.3"/>
    <row r="3952" hidden="1" x14ac:dyDescent="0.3"/>
    <row r="3953" hidden="1" x14ac:dyDescent="0.3"/>
    <row r="3954" hidden="1" x14ac:dyDescent="0.3"/>
    <row r="3955" hidden="1" x14ac:dyDescent="0.3"/>
    <row r="3956" hidden="1" x14ac:dyDescent="0.3"/>
    <row r="3957" hidden="1" x14ac:dyDescent="0.3"/>
    <row r="3958" hidden="1" x14ac:dyDescent="0.3"/>
    <row r="3959" hidden="1" x14ac:dyDescent="0.3"/>
    <row r="3960" hidden="1" x14ac:dyDescent="0.3"/>
    <row r="3961" hidden="1" x14ac:dyDescent="0.3"/>
    <row r="3962" hidden="1" x14ac:dyDescent="0.3"/>
    <row r="3963" hidden="1" x14ac:dyDescent="0.3"/>
    <row r="3964" hidden="1" x14ac:dyDescent="0.3"/>
    <row r="3965" hidden="1" x14ac:dyDescent="0.3"/>
    <row r="3966" hidden="1" x14ac:dyDescent="0.3"/>
    <row r="3967" hidden="1" x14ac:dyDescent="0.3"/>
    <row r="3968" hidden="1" x14ac:dyDescent="0.3"/>
    <row r="3969" hidden="1" x14ac:dyDescent="0.3"/>
    <row r="3970" hidden="1" x14ac:dyDescent="0.3"/>
    <row r="3971" hidden="1" x14ac:dyDescent="0.3"/>
    <row r="3972" hidden="1" x14ac:dyDescent="0.3"/>
    <row r="3973" hidden="1" x14ac:dyDescent="0.3"/>
    <row r="3974" hidden="1" x14ac:dyDescent="0.3"/>
    <row r="3975" hidden="1" x14ac:dyDescent="0.3"/>
    <row r="3976" hidden="1" x14ac:dyDescent="0.3"/>
    <row r="3977" hidden="1" x14ac:dyDescent="0.3"/>
    <row r="3978" hidden="1" x14ac:dyDescent="0.3"/>
    <row r="3979" hidden="1" x14ac:dyDescent="0.3"/>
    <row r="3980" hidden="1" x14ac:dyDescent="0.3"/>
    <row r="3981" hidden="1" x14ac:dyDescent="0.3"/>
    <row r="3982" hidden="1" x14ac:dyDescent="0.3"/>
    <row r="3983" hidden="1" x14ac:dyDescent="0.3"/>
    <row r="3984" hidden="1" x14ac:dyDescent="0.3"/>
    <row r="3985" hidden="1" x14ac:dyDescent="0.3"/>
    <row r="3986" hidden="1" x14ac:dyDescent="0.3"/>
    <row r="3987" hidden="1" x14ac:dyDescent="0.3"/>
    <row r="3988" hidden="1" x14ac:dyDescent="0.3"/>
    <row r="3989" hidden="1" x14ac:dyDescent="0.3"/>
    <row r="3990" hidden="1" x14ac:dyDescent="0.3"/>
    <row r="3991" hidden="1" x14ac:dyDescent="0.3"/>
    <row r="3992" hidden="1" x14ac:dyDescent="0.3"/>
    <row r="3993" hidden="1" x14ac:dyDescent="0.3"/>
    <row r="3994" hidden="1" x14ac:dyDescent="0.3"/>
    <row r="3995" hidden="1" x14ac:dyDescent="0.3"/>
    <row r="3996" hidden="1" x14ac:dyDescent="0.3"/>
    <row r="3997" hidden="1" x14ac:dyDescent="0.3"/>
    <row r="3998" hidden="1" x14ac:dyDescent="0.3"/>
    <row r="3999" hidden="1" x14ac:dyDescent="0.3"/>
    <row r="4000" hidden="1" x14ac:dyDescent="0.3"/>
    <row r="4001" hidden="1" x14ac:dyDescent="0.3"/>
    <row r="4002" hidden="1" x14ac:dyDescent="0.3"/>
    <row r="4003" hidden="1" x14ac:dyDescent="0.3"/>
    <row r="4004" hidden="1" x14ac:dyDescent="0.3"/>
    <row r="4005" hidden="1" x14ac:dyDescent="0.3"/>
    <row r="4006" hidden="1" x14ac:dyDescent="0.3"/>
    <row r="4007" hidden="1" x14ac:dyDescent="0.3"/>
    <row r="4008" hidden="1" x14ac:dyDescent="0.3"/>
    <row r="4009" hidden="1" x14ac:dyDescent="0.3"/>
    <row r="4010" hidden="1" x14ac:dyDescent="0.3"/>
    <row r="4011" hidden="1" x14ac:dyDescent="0.3"/>
    <row r="4012" hidden="1" x14ac:dyDescent="0.3"/>
    <row r="4013" hidden="1" x14ac:dyDescent="0.3"/>
    <row r="4014" hidden="1" x14ac:dyDescent="0.3"/>
    <row r="4015" hidden="1" x14ac:dyDescent="0.3"/>
    <row r="4016" hidden="1" x14ac:dyDescent="0.3"/>
    <row r="4017" hidden="1" x14ac:dyDescent="0.3"/>
    <row r="4018" hidden="1" x14ac:dyDescent="0.3"/>
    <row r="4019" hidden="1" x14ac:dyDescent="0.3"/>
    <row r="4020" hidden="1" x14ac:dyDescent="0.3"/>
    <row r="4021" hidden="1" x14ac:dyDescent="0.3"/>
    <row r="4022" hidden="1" x14ac:dyDescent="0.3"/>
    <row r="4023" hidden="1" x14ac:dyDescent="0.3"/>
    <row r="4024" hidden="1" x14ac:dyDescent="0.3"/>
    <row r="4025" hidden="1" x14ac:dyDescent="0.3"/>
    <row r="4026" hidden="1" x14ac:dyDescent="0.3"/>
    <row r="4027" hidden="1" x14ac:dyDescent="0.3"/>
    <row r="4028" hidden="1" x14ac:dyDescent="0.3"/>
    <row r="4029" hidden="1" x14ac:dyDescent="0.3"/>
    <row r="4030" hidden="1" x14ac:dyDescent="0.3"/>
    <row r="4031" hidden="1" x14ac:dyDescent="0.3"/>
    <row r="4032" hidden="1" x14ac:dyDescent="0.3"/>
    <row r="4033" hidden="1" x14ac:dyDescent="0.3"/>
    <row r="4034" hidden="1" x14ac:dyDescent="0.3"/>
    <row r="4035" hidden="1" x14ac:dyDescent="0.3"/>
    <row r="4036" hidden="1" x14ac:dyDescent="0.3"/>
    <row r="4037" hidden="1" x14ac:dyDescent="0.3"/>
    <row r="4038" hidden="1" x14ac:dyDescent="0.3"/>
    <row r="4039" hidden="1" x14ac:dyDescent="0.3"/>
    <row r="4040" hidden="1" x14ac:dyDescent="0.3"/>
    <row r="4041" hidden="1" x14ac:dyDescent="0.3"/>
    <row r="4042" hidden="1" x14ac:dyDescent="0.3"/>
    <row r="4043" hidden="1" x14ac:dyDescent="0.3"/>
    <row r="4044" hidden="1" x14ac:dyDescent="0.3"/>
    <row r="4045" hidden="1" x14ac:dyDescent="0.3"/>
    <row r="4046" hidden="1" x14ac:dyDescent="0.3"/>
    <row r="4047" hidden="1" x14ac:dyDescent="0.3"/>
    <row r="4048" hidden="1" x14ac:dyDescent="0.3"/>
    <row r="4049" hidden="1" x14ac:dyDescent="0.3"/>
    <row r="4050" hidden="1" x14ac:dyDescent="0.3"/>
    <row r="4051" hidden="1" x14ac:dyDescent="0.3"/>
    <row r="4052" hidden="1" x14ac:dyDescent="0.3"/>
    <row r="4053" hidden="1" x14ac:dyDescent="0.3"/>
    <row r="4054" hidden="1" x14ac:dyDescent="0.3"/>
    <row r="4055" hidden="1" x14ac:dyDescent="0.3"/>
    <row r="4056" hidden="1" x14ac:dyDescent="0.3"/>
    <row r="4057" hidden="1" x14ac:dyDescent="0.3"/>
    <row r="4058" hidden="1" x14ac:dyDescent="0.3"/>
    <row r="4059" hidden="1" x14ac:dyDescent="0.3"/>
    <row r="4060" hidden="1" x14ac:dyDescent="0.3"/>
    <row r="4061" hidden="1" x14ac:dyDescent="0.3"/>
    <row r="4062" hidden="1" x14ac:dyDescent="0.3"/>
    <row r="4063" hidden="1" x14ac:dyDescent="0.3"/>
    <row r="4064" hidden="1" x14ac:dyDescent="0.3"/>
    <row r="4065" hidden="1" x14ac:dyDescent="0.3"/>
    <row r="4066" hidden="1" x14ac:dyDescent="0.3"/>
    <row r="4067" hidden="1" x14ac:dyDescent="0.3"/>
    <row r="4068" hidden="1" x14ac:dyDescent="0.3"/>
    <row r="4069" hidden="1" x14ac:dyDescent="0.3"/>
    <row r="4070" hidden="1" x14ac:dyDescent="0.3"/>
    <row r="4071" hidden="1" x14ac:dyDescent="0.3"/>
    <row r="4072" hidden="1" x14ac:dyDescent="0.3"/>
    <row r="4073" hidden="1" x14ac:dyDescent="0.3"/>
    <row r="4074" hidden="1" x14ac:dyDescent="0.3"/>
    <row r="4075" hidden="1" x14ac:dyDescent="0.3"/>
    <row r="4076" hidden="1" x14ac:dyDescent="0.3"/>
    <row r="4077" hidden="1" x14ac:dyDescent="0.3"/>
    <row r="4078" hidden="1" x14ac:dyDescent="0.3"/>
    <row r="4079" hidden="1" x14ac:dyDescent="0.3"/>
    <row r="4080" hidden="1" x14ac:dyDescent="0.3"/>
    <row r="4081" hidden="1" x14ac:dyDescent="0.3"/>
    <row r="4082" hidden="1" x14ac:dyDescent="0.3"/>
    <row r="4083" hidden="1" x14ac:dyDescent="0.3"/>
    <row r="4084" hidden="1" x14ac:dyDescent="0.3"/>
    <row r="4085" hidden="1" x14ac:dyDescent="0.3"/>
    <row r="4086" hidden="1" x14ac:dyDescent="0.3"/>
    <row r="4087" hidden="1" x14ac:dyDescent="0.3"/>
    <row r="4088" hidden="1" x14ac:dyDescent="0.3"/>
    <row r="4089" hidden="1" x14ac:dyDescent="0.3"/>
    <row r="4090" hidden="1" x14ac:dyDescent="0.3"/>
    <row r="4091" hidden="1" x14ac:dyDescent="0.3"/>
    <row r="4092" hidden="1" x14ac:dyDescent="0.3"/>
    <row r="4093" hidden="1" x14ac:dyDescent="0.3"/>
    <row r="4094" hidden="1" x14ac:dyDescent="0.3"/>
    <row r="4095" hidden="1" x14ac:dyDescent="0.3"/>
    <row r="4096" hidden="1" x14ac:dyDescent="0.3"/>
    <row r="4097" hidden="1" x14ac:dyDescent="0.3"/>
    <row r="4098" hidden="1" x14ac:dyDescent="0.3"/>
    <row r="4099" hidden="1" x14ac:dyDescent="0.3"/>
    <row r="4100" hidden="1" x14ac:dyDescent="0.3"/>
    <row r="4101" hidden="1" x14ac:dyDescent="0.3"/>
    <row r="4102" hidden="1" x14ac:dyDescent="0.3"/>
    <row r="4103" hidden="1" x14ac:dyDescent="0.3"/>
    <row r="4104" hidden="1" x14ac:dyDescent="0.3"/>
    <row r="4105" hidden="1" x14ac:dyDescent="0.3"/>
    <row r="4106" hidden="1" x14ac:dyDescent="0.3"/>
    <row r="4107" hidden="1" x14ac:dyDescent="0.3"/>
    <row r="4108" hidden="1" x14ac:dyDescent="0.3"/>
    <row r="4109" hidden="1" x14ac:dyDescent="0.3"/>
    <row r="4110" hidden="1" x14ac:dyDescent="0.3"/>
    <row r="4111" hidden="1" x14ac:dyDescent="0.3"/>
    <row r="4112" hidden="1" x14ac:dyDescent="0.3"/>
    <row r="4113" hidden="1" x14ac:dyDescent="0.3"/>
    <row r="4114" hidden="1" x14ac:dyDescent="0.3"/>
    <row r="4115" hidden="1" x14ac:dyDescent="0.3"/>
    <row r="4116" hidden="1" x14ac:dyDescent="0.3"/>
    <row r="4117" hidden="1" x14ac:dyDescent="0.3"/>
    <row r="4118" hidden="1" x14ac:dyDescent="0.3"/>
    <row r="4119" hidden="1" x14ac:dyDescent="0.3"/>
    <row r="4120" hidden="1" x14ac:dyDescent="0.3"/>
    <row r="4121" hidden="1" x14ac:dyDescent="0.3"/>
    <row r="4122" hidden="1" x14ac:dyDescent="0.3"/>
    <row r="4123" hidden="1" x14ac:dyDescent="0.3"/>
    <row r="4124" hidden="1" x14ac:dyDescent="0.3"/>
    <row r="4125" hidden="1" x14ac:dyDescent="0.3"/>
    <row r="4126" hidden="1" x14ac:dyDescent="0.3"/>
    <row r="4127" hidden="1" x14ac:dyDescent="0.3"/>
    <row r="4128" hidden="1" x14ac:dyDescent="0.3"/>
    <row r="4129" hidden="1" x14ac:dyDescent="0.3"/>
    <row r="4130" hidden="1" x14ac:dyDescent="0.3"/>
    <row r="4131" hidden="1" x14ac:dyDescent="0.3"/>
    <row r="4132" hidden="1" x14ac:dyDescent="0.3"/>
    <row r="4133" hidden="1" x14ac:dyDescent="0.3"/>
    <row r="4134" hidden="1" x14ac:dyDescent="0.3"/>
    <row r="4135" hidden="1" x14ac:dyDescent="0.3"/>
    <row r="4136" hidden="1" x14ac:dyDescent="0.3"/>
    <row r="4137" hidden="1" x14ac:dyDescent="0.3"/>
    <row r="4138" hidden="1" x14ac:dyDescent="0.3"/>
    <row r="4139" hidden="1" x14ac:dyDescent="0.3"/>
    <row r="4140" hidden="1" x14ac:dyDescent="0.3"/>
    <row r="4141" hidden="1" x14ac:dyDescent="0.3"/>
    <row r="4142" hidden="1" x14ac:dyDescent="0.3"/>
    <row r="4143" hidden="1" x14ac:dyDescent="0.3"/>
    <row r="4144" hidden="1" x14ac:dyDescent="0.3"/>
    <row r="4145" hidden="1" x14ac:dyDescent="0.3"/>
    <row r="4146" hidden="1" x14ac:dyDescent="0.3"/>
    <row r="4147" hidden="1" x14ac:dyDescent="0.3"/>
    <row r="4148" hidden="1" x14ac:dyDescent="0.3"/>
    <row r="4149" hidden="1" x14ac:dyDescent="0.3"/>
    <row r="4150" hidden="1" x14ac:dyDescent="0.3"/>
    <row r="4151" hidden="1" x14ac:dyDescent="0.3"/>
    <row r="4152" hidden="1" x14ac:dyDescent="0.3"/>
    <row r="4153" hidden="1" x14ac:dyDescent="0.3"/>
    <row r="4154" hidden="1" x14ac:dyDescent="0.3"/>
    <row r="4155" hidden="1" x14ac:dyDescent="0.3"/>
    <row r="4156" hidden="1" x14ac:dyDescent="0.3"/>
    <row r="4157" hidden="1" x14ac:dyDescent="0.3"/>
    <row r="4158" hidden="1" x14ac:dyDescent="0.3"/>
    <row r="4159" hidden="1" x14ac:dyDescent="0.3"/>
    <row r="4160" hidden="1" x14ac:dyDescent="0.3"/>
    <row r="4161" hidden="1" x14ac:dyDescent="0.3"/>
    <row r="4162" hidden="1" x14ac:dyDescent="0.3"/>
    <row r="4163" hidden="1" x14ac:dyDescent="0.3"/>
    <row r="4164" hidden="1" x14ac:dyDescent="0.3"/>
    <row r="4165" hidden="1" x14ac:dyDescent="0.3"/>
    <row r="4166" hidden="1" x14ac:dyDescent="0.3"/>
    <row r="4167" hidden="1" x14ac:dyDescent="0.3"/>
    <row r="4168" hidden="1" x14ac:dyDescent="0.3"/>
    <row r="4169" hidden="1" x14ac:dyDescent="0.3"/>
    <row r="4170" hidden="1" x14ac:dyDescent="0.3"/>
    <row r="4171" hidden="1" x14ac:dyDescent="0.3"/>
    <row r="4172" hidden="1" x14ac:dyDescent="0.3"/>
    <row r="4173" hidden="1" x14ac:dyDescent="0.3"/>
    <row r="4174" hidden="1" x14ac:dyDescent="0.3"/>
    <row r="4175" hidden="1" x14ac:dyDescent="0.3"/>
    <row r="4176" hidden="1" x14ac:dyDescent="0.3"/>
    <row r="4177" hidden="1" x14ac:dyDescent="0.3"/>
    <row r="4178" hidden="1" x14ac:dyDescent="0.3"/>
    <row r="4179" hidden="1" x14ac:dyDescent="0.3"/>
    <row r="4180" hidden="1" x14ac:dyDescent="0.3"/>
    <row r="4181" hidden="1" x14ac:dyDescent="0.3"/>
    <row r="4182" hidden="1" x14ac:dyDescent="0.3"/>
    <row r="4183" hidden="1" x14ac:dyDescent="0.3"/>
    <row r="4184" hidden="1" x14ac:dyDescent="0.3"/>
    <row r="4185" hidden="1" x14ac:dyDescent="0.3"/>
    <row r="4186" hidden="1" x14ac:dyDescent="0.3"/>
    <row r="4187" hidden="1" x14ac:dyDescent="0.3"/>
    <row r="4188" hidden="1" x14ac:dyDescent="0.3"/>
    <row r="4189" hidden="1" x14ac:dyDescent="0.3"/>
    <row r="4190" hidden="1" x14ac:dyDescent="0.3"/>
    <row r="4191" hidden="1" x14ac:dyDescent="0.3"/>
    <row r="4192" hidden="1" x14ac:dyDescent="0.3"/>
    <row r="4193" hidden="1" x14ac:dyDescent="0.3"/>
    <row r="4194" hidden="1" x14ac:dyDescent="0.3"/>
    <row r="4195" hidden="1" x14ac:dyDescent="0.3"/>
    <row r="4196" hidden="1" x14ac:dyDescent="0.3"/>
    <row r="4197" hidden="1" x14ac:dyDescent="0.3"/>
    <row r="4198" hidden="1" x14ac:dyDescent="0.3"/>
    <row r="4199" hidden="1" x14ac:dyDescent="0.3"/>
    <row r="4200" hidden="1" x14ac:dyDescent="0.3"/>
    <row r="4201" hidden="1" x14ac:dyDescent="0.3"/>
    <row r="4202" hidden="1" x14ac:dyDescent="0.3"/>
    <row r="4203" hidden="1" x14ac:dyDescent="0.3"/>
    <row r="4204" hidden="1" x14ac:dyDescent="0.3"/>
    <row r="4205" hidden="1" x14ac:dyDescent="0.3"/>
    <row r="4206" hidden="1" x14ac:dyDescent="0.3"/>
    <row r="4207" hidden="1" x14ac:dyDescent="0.3"/>
    <row r="4208" hidden="1" x14ac:dyDescent="0.3"/>
    <row r="4209" hidden="1" x14ac:dyDescent="0.3"/>
    <row r="4210" hidden="1" x14ac:dyDescent="0.3"/>
    <row r="4211" hidden="1" x14ac:dyDescent="0.3"/>
    <row r="4212" hidden="1" x14ac:dyDescent="0.3"/>
    <row r="4213" hidden="1" x14ac:dyDescent="0.3"/>
    <row r="4214" hidden="1" x14ac:dyDescent="0.3"/>
    <row r="4215" hidden="1" x14ac:dyDescent="0.3"/>
    <row r="4216" hidden="1" x14ac:dyDescent="0.3"/>
    <row r="4217" hidden="1" x14ac:dyDescent="0.3"/>
    <row r="4218" hidden="1" x14ac:dyDescent="0.3"/>
    <row r="4219" hidden="1" x14ac:dyDescent="0.3"/>
    <row r="4220" hidden="1" x14ac:dyDescent="0.3"/>
    <row r="4221" hidden="1" x14ac:dyDescent="0.3"/>
    <row r="4222" hidden="1" x14ac:dyDescent="0.3"/>
    <row r="4223" hidden="1" x14ac:dyDescent="0.3"/>
    <row r="4224" hidden="1" x14ac:dyDescent="0.3"/>
    <row r="4225" hidden="1" x14ac:dyDescent="0.3"/>
    <row r="4226" hidden="1" x14ac:dyDescent="0.3"/>
    <row r="4227" hidden="1" x14ac:dyDescent="0.3"/>
    <row r="4228" hidden="1" x14ac:dyDescent="0.3"/>
    <row r="4229" hidden="1" x14ac:dyDescent="0.3"/>
    <row r="4230" hidden="1" x14ac:dyDescent="0.3"/>
    <row r="4231" hidden="1" x14ac:dyDescent="0.3"/>
    <row r="4232" hidden="1" x14ac:dyDescent="0.3"/>
    <row r="4233" hidden="1" x14ac:dyDescent="0.3"/>
    <row r="4234" hidden="1" x14ac:dyDescent="0.3"/>
    <row r="4235" hidden="1" x14ac:dyDescent="0.3"/>
    <row r="4236" hidden="1" x14ac:dyDescent="0.3"/>
    <row r="4237" hidden="1" x14ac:dyDescent="0.3"/>
    <row r="4238" hidden="1" x14ac:dyDescent="0.3"/>
    <row r="4239" hidden="1" x14ac:dyDescent="0.3"/>
    <row r="4240" hidden="1" x14ac:dyDescent="0.3"/>
    <row r="4241" hidden="1" x14ac:dyDescent="0.3"/>
    <row r="4242" hidden="1" x14ac:dyDescent="0.3"/>
    <row r="4243" hidden="1" x14ac:dyDescent="0.3"/>
    <row r="4244" hidden="1" x14ac:dyDescent="0.3"/>
    <row r="4245" hidden="1" x14ac:dyDescent="0.3"/>
    <row r="4246" hidden="1" x14ac:dyDescent="0.3"/>
    <row r="4247" hidden="1" x14ac:dyDescent="0.3"/>
    <row r="4248" hidden="1" x14ac:dyDescent="0.3"/>
    <row r="4249" hidden="1" x14ac:dyDescent="0.3"/>
    <row r="4250" hidden="1" x14ac:dyDescent="0.3"/>
    <row r="4251" hidden="1" x14ac:dyDescent="0.3"/>
    <row r="4252" hidden="1" x14ac:dyDescent="0.3"/>
    <row r="4253" hidden="1" x14ac:dyDescent="0.3"/>
    <row r="4254" hidden="1" x14ac:dyDescent="0.3"/>
    <row r="4255" hidden="1" x14ac:dyDescent="0.3"/>
    <row r="4256" hidden="1" x14ac:dyDescent="0.3"/>
    <row r="4257" hidden="1" x14ac:dyDescent="0.3"/>
    <row r="4258" hidden="1" x14ac:dyDescent="0.3"/>
    <row r="4259" hidden="1" x14ac:dyDescent="0.3"/>
    <row r="4260" hidden="1" x14ac:dyDescent="0.3"/>
    <row r="4261" hidden="1" x14ac:dyDescent="0.3"/>
    <row r="4262" hidden="1" x14ac:dyDescent="0.3"/>
    <row r="4263" hidden="1" x14ac:dyDescent="0.3"/>
    <row r="4264" hidden="1" x14ac:dyDescent="0.3"/>
    <row r="4265" hidden="1" x14ac:dyDescent="0.3"/>
    <row r="4266" hidden="1" x14ac:dyDescent="0.3"/>
    <row r="4267" hidden="1" x14ac:dyDescent="0.3"/>
    <row r="4268" hidden="1" x14ac:dyDescent="0.3"/>
    <row r="4269" hidden="1" x14ac:dyDescent="0.3"/>
    <row r="4270" hidden="1" x14ac:dyDescent="0.3"/>
    <row r="4271" hidden="1" x14ac:dyDescent="0.3"/>
    <row r="4272" hidden="1" x14ac:dyDescent="0.3"/>
    <row r="4273" hidden="1" x14ac:dyDescent="0.3"/>
    <row r="4274" hidden="1" x14ac:dyDescent="0.3"/>
    <row r="4275" hidden="1" x14ac:dyDescent="0.3"/>
    <row r="4276" hidden="1" x14ac:dyDescent="0.3"/>
    <row r="4277" hidden="1" x14ac:dyDescent="0.3"/>
    <row r="4278" hidden="1" x14ac:dyDescent="0.3"/>
    <row r="4279" hidden="1" x14ac:dyDescent="0.3"/>
    <row r="4280" hidden="1" x14ac:dyDescent="0.3"/>
    <row r="4281" hidden="1" x14ac:dyDescent="0.3"/>
    <row r="4282" hidden="1" x14ac:dyDescent="0.3"/>
    <row r="4283" hidden="1" x14ac:dyDescent="0.3"/>
    <row r="4284" hidden="1" x14ac:dyDescent="0.3"/>
    <row r="4285" hidden="1" x14ac:dyDescent="0.3"/>
    <row r="4286" hidden="1" x14ac:dyDescent="0.3"/>
    <row r="4287" hidden="1" x14ac:dyDescent="0.3"/>
    <row r="4288" hidden="1" x14ac:dyDescent="0.3"/>
    <row r="4289" hidden="1" x14ac:dyDescent="0.3"/>
    <row r="4290" hidden="1" x14ac:dyDescent="0.3"/>
    <row r="4291" hidden="1" x14ac:dyDescent="0.3"/>
    <row r="4292" hidden="1" x14ac:dyDescent="0.3"/>
    <row r="4293" hidden="1" x14ac:dyDescent="0.3"/>
    <row r="4294" hidden="1" x14ac:dyDescent="0.3"/>
    <row r="4295" hidden="1" x14ac:dyDescent="0.3"/>
    <row r="4296" hidden="1" x14ac:dyDescent="0.3"/>
    <row r="4297" hidden="1" x14ac:dyDescent="0.3"/>
    <row r="4298" hidden="1" x14ac:dyDescent="0.3"/>
    <row r="4299" hidden="1" x14ac:dyDescent="0.3"/>
    <row r="4300" hidden="1" x14ac:dyDescent="0.3"/>
    <row r="4301" hidden="1" x14ac:dyDescent="0.3"/>
    <row r="4302" hidden="1" x14ac:dyDescent="0.3"/>
    <row r="4303" hidden="1" x14ac:dyDescent="0.3"/>
    <row r="4304" hidden="1" x14ac:dyDescent="0.3"/>
    <row r="4305" hidden="1" x14ac:dyDescent="0.3"/>
    <row r="4306" hidden="1" x14ac:dyDescent="0.3"/>
    <row r="4307" hidden="1" x14ac:dyDescent="0.3"/>
    <row r="4308" hidden="1" x14ac:dyDescent="0.3"/>
    <row r="4309" hidden="1" x14ac:dyDescent="0.3"/>
    <row r="4310" hidden="1" x14ac:dyDescent="0.3"/>
    <row r="4311" hidden="1" x14ac:dyDescent="0.3"/>
    <row r="4312" hidden="1" x14ac:dyDescent="0.3"/>
    <row r="4313" hidden="1" x14ac:dyDescent="0.3"/>
    <row r="4314" hidden="1" x14ac:dyDescent="0.3"/>
    <row r="4315" hidden="1" x14ac:dyDescent="0.3"/>
    <row r="4316" hidden="1" x14ac:dyDescent="0.3"/>
    <row r="4317" hidden="1" x14ac:dyDescent="0.3"/>
    <row r="4318" hidden="1" x14ac:dyDescent="0.3"/>
    <row r="4319" hidden="1" x14ac:dyDescent="0.3"/>
    <row r="4320" hidden="1" x14ac:dyDescent="0.3"/>
    <row r="4321" hidden="1" x14ac:dyDescent="0.3"/>
    <row r="4322" hidden="1" x14ac:dyDescent="0.3"/>
    <row r="4323" hidden="1" x14ac:dyDescent="0.3"/>
    <row r="4324" hidden="1" x14ac:dyDescent="0.3"/>
    <row r="4325" hidden="1" x14ac:dyDescent="0.3"/>
    <row r="4326" hidden="1" x14ac:dyDescent="0.3"/>
    <row r="4327" hidden="1" x14ac:dyDescent="0.3"/>
    <row r="4328" hidden="1" x14ac:dyDescent="0.3"/>
    <row r="4329" hidden="1" x14ac:dyDescent="0.3"/>
    <row r="4330" hidden="1" x14ac:dyDescent="0.3"/>
    <row r="4331" hidden="1" x14ac:dyDescent="0.3"/>
    <row r="4332" hidden="1" x14ac:dyDescent="0.3"/>
    <row r="4333" hidden="1" x14ac:dyDescent="0.3"/>
    <row r="4334" hidden="1" x14ac:dyDescent="0.3"/>
    <row r="4335" hidden="1" x14ac:dyDescent="0.3"/>
    <row r="4336" hidden="1" x14ac:dyDescent="0.3"/>
    <row r="4337" hidden="1" x14ac:dyDescent="0.3"/>
    <row r="4338" hidden="1" x14ac:dyDescent="0.3"/>
    <row r="4339" hidden="1" x14ac:dyDescent="0.3"/>
    <row r="4340" hidden="1" x14ac:dyDescent="0.3"/>
    <row r="4341" hidden="1" x14ac:dyDescent="0.3"/>
    <row r="4342" hidden="1" x14ac:dyDescent="0.3"/>
    <row r="4343" hidden="1" x14ac:dyDescent="0.3"/>
    <row r="4344" hidden="1" x14ac:dyDescent="0.3"/>
    <row r="4345" hidden="1" x14ac:dyDescent="0.3"/>
    <row r="4346" hidden="1" x14ac:dyDescent="0.3"/>
    <row r="4347" hidden="1" x14ac:dyDescent="0.3"/>
    <row r="4348" hidden="1" x14ac:dyDescent="0.3"/>
    <row r="4349" hidden="1" x14ac:dyDescent="0.3"/>
    <row r="4350" hidden="1" x14ac:dyDescent="0.3"/>
    <row r="4351" hidden="1" x14ac:dyDescent="0.3"/>
    <row r="4352" hidden="1" x14ac:dyDescent="0.3"/>
    <row r="4353" hidden="1" x14ac:dyDescent="0.3"/>
    <row r="4354" hidden="1" x14ac:dyDescent="0.3"/>
    <row r="4355" hidden="1" x14ac:dyDescent="0.3"/>
    <row r="4356" hidden="1" x14ac:dyDescent="0.3"/>
    <row r="4357" hidden="1" x14ac:dyDescent="0.3"/>
    <row r="4358" hidden="1" x14ac:dyDescent="0.3"/>
    <row r="4359" hidden="1" x14ac:dyDescent="0.3"/>
    <row r="4360" hidden="1" x14ac:dyDescent="0.3"/>
    <row r="4361" hidden="1" x14ac:dyDescent="0.3"/>
    <row r="4362" hidden="1" x14ac:dyDescent="0.3"/>
    <row r="4363" hidden="1" x14ac:dyDescent="0.3"/>
    <row r="4364" hidden="1" x14ac:dyDescent="0.3"/>
    <row r="4365" hidden="1" x14ac:dyDescent="0.3"/>
    <row r="4366" hidden="1" x14ac:dyDescent="0.3"/>
    <row r="4367" hidden="1" x14ac:dyDescent="0.3"/>
    <row r="4368" hidden="1" x14ac:dyDescent="0.3"/>
    <row r="4369" hidden="1" x14ac:dyDescent="0.3"/>
    <row r="4370" hidden="1" x14ac:dyDescent="0.3"/>
    <row r="4371" hidden="1" x14ac:dyDescent="0.3"/>
    <row r="4372" hidden="1" x14ac:dyDescent="0.3"/>
    <row r="4373" hidden="1" x14ac:dyDescent="0.3"/>
    <row r="4374" hidden="1" x14ac:dyDescent="0.3"/>
    <row r="4375" hidden="1" x14ac:dyDescent="0.3"/>
    <row r="4376" hidden="1" x14ac:dyDescent="0.3"/>
    <row r="4377" hidden="1" x14ac:dyDescent="0.3"/>
    <row r="4378" hidden="1" x14ac:dyDescent="0.3"/>
    <row r="4379" hidden="1" x14ac:dyDescent="0.3"/>
    <row r="4380" hidden="1" x14ac:dyDescent="0.3"/>
    <row r="4381" hidden="1" x14ac:dyDescent="0.3"/>
    <row r="4382" hidden="1" x14ac:dyDescent="0.3"/>
    <row r="4383" hidden="1" x14ac:dyDescent="0.3"/>
    <row r="4384" hidden="1" x14ac:dyDescent="0.3"/>
    <row r="4385" hidden="1" x14ac:dyDescent="0.3"/>
    <row r="4386" hidden="1" x14ac:dyDescent="0.3"/>
    <row r="4387" hidden="1" x14ac:dyDescent="0.3"/>
    <row r="4388" hidden="1" x14ac:dyDescent="0.3"/>
    <row r="4389" hidden="1" x14ac:dyDescent="0.3"/>
    <row r="4390" hidden="1" x14ac:dyDescent="0.3"/>
    <row r="4391" hidden="1" x14ac:dyDescent="0.3"/>
    <row r="4392" hidden="1" x14ac:dyDescent="0.3"/>
    <row r="4393" hidden="1" x14ac:dyDescent="0.3"/>
    <row r="4394" hidden="1" x14ac:dyDescent="0.3"/>
    <row r="4395" hidden="1" x14ac:dyDescent="0.3"/>
    <row r="4396" hidden="1" x14ac:dyDescent="0.3"/>
    <row r="4397" hidden="1" x14ac:dyDescent="0.3"/>
    <row r="4398" hidden="1" x14ac:dyDescent="0.3"/>
    <row r="4399" hidden="1" x14ac:dyDescent="0.3"/>
    <row r="4400" hidden="1" x14ac:dyDescent="0.3"/>
    <row r="4401" hidden="1" x14ac:dyDescent="0.3"/>
    <row r="4402" hidden="1" x14ac:dyDescent="0.3"/>
    <row r="4403" hidden="1" x14ac:dyDescent="0.3"/>
    <row r="4404" hidden="1" x14ac:dyDescent="0.3"/>
    <row r="4405" hidden="1" x14ac:dyDescent="0.3"/>
    <row r="4406" hidden="1" x14ac:dyDescent="0.3"/>
    <row r="4407" hidden="1" x14ac:dyDescent="0.3"/>
    <row r="4408" hidden="1" x14ac:dyDescent="0.3"/>
    <row r="4409" hidden="1" x14ac:dyDescent="0.3"/>
    <row r="4410" hidden="1" x14ac:dyDescent="0.3"/>
    <row r="4411" hidden="1" x14ac:dyDescent="0.3"/>
    <row r="4412" hidden="1" x14ac:dyDescent="0.3"/>
    <row r="4413" hidden="1" x14ac:dyDescent="0.3"/>
    <row r="4414" hidden="1" x14ac:dyDescent="0.3"/>
    <row r="4415" hidden="1" x14ac:dyDescent="0.3"/>
    <row r="4416" hidden="1" x14ac:dyDescent="0.3"/>
    <row r="4417" hidden="1" x14ac:dyDescent="0.3"/>
    <row r="4418" hidden="1" x14ac:dyDescent="0.3"/>
    <row r="4419" hidden="1" x14ac:dyDescent="0.3"/>
    <row r="4420" hidden="1" x14ac:dyDescent="0.3"/>
    <row r="4421" hidden="1" x14ac:dyDescent="0.3"/>
    <row r="4422" hidden="1" x14ac:dyDescent="0.3"/>
    <row r="4423" hidden="1" x14ac:dyDescent="0.3"/>
    <row r="4424" hidden="1" x14ac:dyDescent="0.3"/>
    <row r="4425" hidden="1" x14ac:dyDescent="0.3"/>
    <row r="4426" hidden="1" x14ac:dyDescent="0.3"/>
    <row r="4427" hidden="1" x14ac:dyDescent="0.3"/>
    <row r="4428" hidden="1" x14ac:dyDescent="0.3"/>
    <row r="4429" hidden="1" x14ac:dyDescent="0.3"/>
    <row r="4430" hidden="1" x14ac:dyDescent="0.3"/>
    <row r="4431" hidden="1" x14ac:dyDescent="0.3"/>
    <row r="4432" hidden="1" x14ac:dyDescent="0.3"/>
    <row r="4433" hidden="1" x14ac:dyDescent="0.3"/>
    <row r="4434" hidden="1" x14ac:dyDescent="0.3"/>
    <row r="4435" hidden="1" x14ac:dyDescent="0.3"/>
    <row r="4436" hidden="1" x14ac:dyDescent="0.3"/>
    <row r="4437" hidden="1" x14ac:dyDescent="0.3"/>
    <row r="4438" hidden="1" x14ac:dyDescent="0.3"/>
    <row r="4439" hidden="1" x14ac:dyDescent="0.3"/>
    <row r="4440" hidden="1" x14ac:dyDescent="0.3"/>
    <row r="4441" hidden="1" x14ac:dyDescent="0.3"/>
    <row r="4442" hidden="1" x14ac:dyDescent="0.3"/>
    <row r="4443" hidden="1" x14ac:dyDescent="0.3"/>
    <row r="4444" hidden="1" x14ac:dyDescent="0.3"/>
    <row r="4445" hidden="1" x14ac:dyDescent="0.3"/>
    <row r="4446" hidden="1" x14ac:dyDescent="0.3"/>
    <row r="4447" hidden="1" x14ac:dyDescent="0.3"/>
    <row r="4448" hidden="1" x14ac:dyDescent="0.3"/>
    <row r="4449" hidden="1" x14ac:dyDescent="0.3"/>
    <row r="4450" hidden="1" x14ac:dyDescent="0.3"/>
    <row r="4451" hidden="1" x14ac:dyDescent="0.3"/>
    <row r="4452" hidden="1" x14ac:dyDescent="0.3"/>
    <row r="4453" hidden="1" x14ac:dyDescent="0.3"/>
    <row r="4454" hidden="1" x14ac:dyDescent="0.3"/>
    <row r="4455" hidden="1" x14ac:dyDescent="0.3"/>
    <row r="4456" hidden="1" x14ac:dyDescent="0.3"/>
    <row r="4457" hidden="1" x14ac:dyDescent="0.3"/>
    <row r="4458" hidden="1" x14ac:dyDescent="0.3"/>
    <row r="4459" hidden="1" x14ac:dyDescent="0.3"/>
    <row r="4460" hidden="1" x14ac:dyDescent="0.3"/>
    <row r="4461" hidden="1" x14ac:dyDescent="0.3"/>
    <row r="4462" hidden="1" x14ac:dyDescent="0.3"/>
    <row r="4463" hidden="1" x14ac:dyDescent="0.3"/>
    <row r="4464" hidden="1" x14ac:dyDescent="0.3"/>
    <row r="4465" hidden="1" x14ac:dyDescent="0.3"/>
    <row r="4466" hidden="1" x14ac:dyDescent="0.3"/>
    <row r="4467" hidden="1" x14ac:dyDescent="0.3"/>
    <row r="4468" hidden="1" x14ac:dyDescent="0.3"/>
    <row r="4469" hidden="1" x14ac:dyDescent="0.3"/>
    <row r="4470" hidden="1" x14ac:dyDescent="0.3"/>
    <row r="4471" hidden="1" x14ac:dyDescent="0.3"/>
    <row r="4472" hidden="1" x14ac:dyDescent="0.3"/>
    <row r="4473" hidden="1" x14ac:dyDescent="0.3"/>
    <row r="4474" hidden="1" x14ac:dyDescent="0.3"/>
    <row r="4475" hidden="1" x14ac:dyDescent="0.3"/>
    <row r="4476" hidden="1" x14ac:dyDescent="0.3"/>
    <row r="4477" hidden="1" x14ac:dyDescent="0.3"/>
    <row r="4478" hidden="1" x14ac:dyDescent="0.3"/>
    <row r="4479" hidden="1" x14ac:dyDescent="0.3"/>
    <row r="4480" hidden="1" x14ac:dyDescent="0.3"/>
    <row r="4481" hidden="1" x14ac:dyDescent="0.3"/>
    <row r="4482" hidden="1" x14ac:dyDescent="0.3"/>
    <row r="4483" hidden="1" x14ac:dyDescent="0.3"/>
    <row r="4484" hidden="1" x14ac:dyDescent="0.3"/>
    <row r="4485" hidden="1" x14ac:dyDescent="0.3"/>
    <row r="4486" hidden="1" x14ac:dyDescent="0.3"/>
    <row r="4487" hidden="1" x14ac:dyDescent="0.3"/>
    <row r="4488" hidden="1" x14ac:dyDescent="0.3"/>
    <row r="4489" hidden="1" x14ac:dyDescent="0.3"/>
    <row r="4490" hidden="1" x14ac:dyDescent="0.3"/>
    <row r="4491" hidden="1" x14ac:dyDescent="0.3"/>
    <row r="4492" hidden="1" x14ac:dyDescent="0.3"/>
    <row r="4493" hidden="1" x14ac:dyDescent="0.3"/>
    <row r="4494" hidden="1" x14ac:dyDescent="0.3"/>
    <row r="4495" hidden="1" x14ac:dyDescent="0.3"/>
    <row r="4496" hidden="1" x14ac:dyDescent="0.3"/>
    <row r="4497" hidden="1" x14ac:dyDescent="0.3"/>
    <row r="4498" hidden="1" x14ac:dyDescent="0.3"/>
    <row r="4499" hidden="1" x14ac:dyDescent="0.3"/>
    <row r="4500" hidden="1" x14ac:dyDescent="0.3"/>
    <row r="4501" hidden="1" x14ac:dyDescent="0.3"/>
    <row r="4502" hidden="1" x14ac:dyDescent="0.3"/>
    <row r="4503" hidden="1" x14ac:dyDescent="0.3"/>
    <row r="4504" hidden="1" x14ac:dyDescent="0.3"/>
    <row r="4505" hidden="1" x14ac:dyDescent="0.3"/>
    <row r="4506" hidden="1" x14ac:dyDescent="0.3"/>
    <row r="4507" hidden="1" x14ac:dyDescent="0.3"/>
    <row r="4508" hidden="1" x14ac:dyDescent="0.3"/>
    <row r="4509" hidden="1" x14ac:dyDescent="0.3"/>
    <row r="4510" hidden="1" x14ac:dyDescent="0.3"/>
    <row r="4511" hidden="1" x14ac:dyDescent="0.3"/>
    <row r="4512" hidden="1" x14ac:dyDescent="0.3"/>
    <row r="4513" hidden="1" x14ac:dyDescent="0.3"/>
    <row r="4514" hidden="1" x14ac:dyDescent="0.3"/>
    <row r="4515" hidden="1" x14ac:dyDescent="0.3"/>
    <row r="4516" hidden="1" x14ac:dyDescent="0.3"/>
    <row r="4517" hidden="1" x14ac:dyDescent="0.3"/>
    <row r="4518" hidden="1" x14ac:dyDescent="0.3"/>
    <row r="4519" hidden="1" x14ac:dyDescent="0.3"/>
    <row r="4520" hidden="1" x14ac:dyDescent="0.3"/>
    <row r="4521" hidden="1" x14ac:dyDescent="0.3"/>
    <row r="4522" hidden="1" x14ac:dyDescent="0.3"/>
    <row r="4523" hidden="1" x14ac:dyDescent="0.3"/>
    <row r="4524" hidden="1" x14ac:dyDescent="0.3"/>
    <row r="4525" hidden="1" x14ac:dyDescent="0.3"/>
    <row r="4526" hidden="1" x14ac:dyDescent="0.3"/>
    <row r="4527" hidden="1" x14ac:dyDescent="0.3"/>
    <row r="4528" hidden="1" x14ac:dyDescent="0.3"/>
    <row r="4529" hidden="1" x14ac:dyDescent="0.3"/>
    <row r="4530" hidden="1" x14ac:dyDescent="0.3"/>
    <row r="4531" hidden="1" x14ac:dyDescent="0.3"/>
    <row r="4532" hidden="1" x14ac:dyDescent="0.3"/>
    <row r="4533" hidden="1" x14ac:dyDescent="0.3"/>
    <row r="4534" hidden="1" x14ac:dyDescent="0.3"/>
    <row r="4535" hidden="1" x14ac:dyDescent="0.3"/>
    <row r="4536" hidden="1" x14ac:dyDescent="0.3"/>
    <row r="4537" hidden="1" x14ac:dyDescent="0.3"/>
    <row r="4538" hidden="1" x14ac:dyDescent="0.3"/>
    <row r="4539" hidden="1" x14ac:dyDescent="0.3"/>
    <row r="4540" hidden="1" x14ac:dyDescent="0.3"/>
    <row r="4541" hidden="1" x14ac:dyDescent="0.3"/>
    <row r="4542" hidden="1" x14ac:dyDescent="0.3"/>
    <row r="4543" hidden="1" x14ac:dyDescent="0.3"/>
    <row r="4544" hidden="1" x14ac:dyDescent="0.3"/>
    <row r="4545" hidden="1" x14ac:dyDescent="0.3"/>
    <row r="4546" hidden="1" x14ac:dyDescent="0.3"/>
    <row r="4547" hidden="1" x14ac:dyDescent="0.3"/>
    <row r="4548" hidden="1" x14ac:dyDescent="0.3"/>
    <row r="4549" hidden="1" x14ac:dyDescent="0.3"/>
    <row r="4550" hidden="1" x14ac:dyDescent="0.3"/>
    <row r="4551" hidden="1" x14ac:dyDescent="0.3"/>
    <row r="4552" hidden="1" x14ac:dyDescent="0.3"/>
    <row r="4553" hidden="1" x14ac:dyDescent="0.3"/>
    <row r="4554" hidden="1" x14ac:dyDescent="0.3"/>
    <row r="4555" hidden="1" x14ac:dyDescent="0.3"/>
    <row r="4556" hidden="1" x14ac:dyDescent="0.3"/>
    <row r="4557" hidden="1" x14ac:dyDescent="0.3"/>
    <row r="4558" hidden="1" x14ac:dyDescent="0.3"/>
    <row r="4559" hidden="1" x14ac:dyDescent="0.3"/>
    <row r="4560" hidden="1" x14ac:dyDescent="0.3"/>
    <row r="4561" hidden="1" x14ac:dyDescent="0.3"/>
    <row r="4562" hidden="1" x14ac:dyDescent="0.3"/>
    <row r="4563" hidden="1" x14ac:dyDescent="0.3"/>
    <row r="4564" hidden="1" x14ac:dyDescent="0.3"/>
    <row r="4565" hidden="1" x14ac:dyDescent="0.3"/>
    <row r="4566" hidden="1" x14ac:dyDescent="0.3"/>
    <row r="4567" hidden="1" x14ac:dyDescent="0.3"/>
    <row r="4568" hidden="1" x14ac:dyDescent="0.3"/>
    <row r="4569" hidden="1" x14ac:dyDescent="0.3"/>
    <row r="4570" hidden="1" x14ac:dyDescent="0.3"/>
    <row r="4571" hidden="1" x14ac:dyDescent="0.3"/>
    <row r="4572" hidden="1" x14ac:dyDescent="0.3"/>
    <row r="4573" hidden="1" x14ac:dyDescent="0.3"/>
    <row r="4574" hidden="1" x14ac:dyDescent="0.3"/>
    <row r="4575" hidden="1" x14ac:dyDescent="0.3"/>
    <row r="4576" hidden="1" x14ac:dyDescent="0.3"/>
    <row r="4577" hidden="1" x14ac:dyDescent="0.3"/>
    <row r="4578" hidden="1" x14ac:dyDescent="0.3"/>
    <row r="4579" hidden="1" x14ac:dyDescent="0.3"/>
    <row r="4580" hidden="1" x14ac:dyDescent="0.3"/>
    <row r="4581" hidden="1" x14ac:dyDescent="0.3"/>
    <row r="4582" hidden="1" x14ac:dyDescent="0.3"/>
    <row r="4583" hidden="1" x14ac:dyDescent="0.3"/>
    <row r="4584" hidden="1" x14ac:dyDescent="0.3"/>
    <row r="4585" hidden="1" x14ac:dyDescent="0.3"/>
    <row r="4586" hidden="1" x14ac:dyDescent="0.3"/>
    <row r="4587" hidden="1" x14ac:dyDescent="0.3"/>
    <row r="4588" hidden="1" x14ac:dyDescent="0.3"/>
    <row r="4589" hidden="1" x14ac:dyDescent="0.3"/>
    <row r="4590" hidden="1" x14ac:dyDescent="0.3"/>
    <row r="4591" hidden="1" x14ac:dyDescent="0.3"/>
    <row r="4592" hidden="1" x14ac:dyDescent="0.3"/>
    <row r="4593" hidden="1" x14ac:dyDescent="0.3"/>
    <row r="4594" hidden="1" x14ac:dyDescent="0.3"/>
    <row r="4595" hidden="1" x14ac:dyDescent="0.3"/>
    <row r="4596" hidden="1" x14ac:dyDescent="0.3"/>
    <row r="4597" hidden="1" x14ac:dyDescent="0.3"/>
    <row r="4598" hidden="1" x14ac:dyDescent="0.3"/>
    <row r="4599" hidden="1" x14ac:dyDescent="0.3"/>
    <row r="4600" hidden="1" x14ac:dyDescent="0.3"/>
    <row r="4601" hidden="1" x14ac:dyDescent="0.3"/>
    <row r="4602" hidden="1" x14ac:dyDescent="0.3"/>
    <row r="4603" hidden="1" x14ac:dyDescent="0.3"/>
    <row r="4604" hidden="1" x14ac:dyDescent="0.3"/>
    <row r="4605" hidden="1" x14ac:dyDescent="0.3"/>
    <row r="4606" hidden="1" x14ac:dyDescent="0.3"/>
    <row r="4607" hidden="1" x14ac:dyDescent="0.3"/>
    <row r="4608" hidden="1" x14ac:dyDescent="0.3"/>
    <row r="4609" hidden="1" x14ac:dyDescent="0.3"/>
    <row r="4610" hidden="1" x14ac:dyDescent="0.3"/>
    <row r="4611" hidden="1" x14ac:dyDescent="0.3"/>
    <row r="4612" hidden="1" x14ac:dyDescent="0.3"/>
    <row r="4613" hidden="1" x14ac:dyDescent="0.3"/>
    <row r="4614" hidden="1" x14ac:dyDescent="0.3"/>
    <row r="4615" hidden="1" x14ac:dyDescent="0.3"/>
    <row r="4616" hidden="1" x14ac:dyDescent="0.3"/>
    <row r="4617" hidden="1" x14ac:dyDescent="0.3"/>
    <row r="4618" hidden="1" x14ac:dyDescent="0.3"/>
    <row r="4619" hidden="1" x14ac:dyDescent="0.3"/>
    <row r="4620" hidden="1" x14ac:dyDescent="0.3"/>
    <row r="4621" hidden="1" x14ac:dyDescent="0.3"/>
    <row r="4622" hidden="1" x14ac:dyDescent="0.3"/>
    <row r="4623" hidden="1" x14ac:dyDescent="0.3"/>
    <row r="4624" hidden="1" x14ac:dyDescent="0.3"/>
    <row r="4625" hidden="1" x14ac:dyDescent="0.3"/>
    <row r="4626" hidden="1" x14ac:dyDescent="0.3"/>
    <row r="4627" hidden="1" x14ac:dyDescent="0.3"/>
    <row r="4628" hidden="1" x14ac:dyDescent="0.3"/>
    <row r="4629" hidden="1" x14ac:dyDescent="0.3"/>
    <row r="4630" hidden="1" x14ac:dyDescent="0.3"/>
    <row r="4631" hidden="1" x14ac:dyDescent="0.3"/>
    <row r="4632" hidden="1" x14ac:dyDescent="0.3"/>
    <row r="4633" hidden="1" x14ac:dyDescent="0.3"/>
    <row r="4634" hidden="1" x14ac:dyDescent="0.3"/>
    <row r="4635" hidden="1" x14ac:dyDescent="0.3"/>
    <row r="4636" hidden="1" x14ac:dyDescent="0.3"/>
    <row r="4637" hidden="1" x14ac:dyDescent="0.3"/>
    <row r="4638" hidden="1" x14ac:dyDescent="0.3"/>
    <row r="4639" hidden="1" x14ac:dyDescent="0.3"/>
    <row r="4640" hidden="1" x14ac:dyDescent="0.3"/>
    <row r="4641" hidden="1" x14ac:dyDescent="0.3"/>
    <row r="4642" hidden="1" x14ac:dyDescent="0.3"/>
    <row r="4643" hidden="1" x14ac:dyDescent="0.3"/>
    <row r="4644" hidden="1" x14ac:dyDescent="0.3"/>
    <row r="4645" hidden="1" x14ac:dyDescent="0.3"/>
    <row r="4646" hidden="1" x14ac:dyDescent="0.3"/>
    <row r="4647" hidden="1" x14ac:dyDescent="0.3"/>
    <row r="4648" hidden="1" x14ac:dyDescent="0.3"/>
    <row r="4649" hidden="1" x14ac:dyDescent="0.3"/>
    <row r="4650" hidden="1" x14ac:dyDescent="0.3"/>
    <row r="4651" hidden="1" x14ac:dyDescent="0.3"/>
    <row r="4652" hidden="1" x14ac:dyDescent="0.3"/>
    <row r="4653" hidden="1" x14ac:dyDescent="0.3"/>
    <row r="4654" hidden="1" x14ac:dyDescent="0.3"/>
    <row r="4655" hidden="1" x14ac:dyDescent="0.3"/>
    <row r="4656" hidden="1" x14ac:dyDescent="0.3"/>
    <row r="4657" hidden="1" x14ac:dyDescent="0.3"/>
    <row r="4658" hidden="1" x14ac:dyDescent="0.3"/>
    <row r="4659" hidden="1" x14ac:dyDescent="0.3"/>
    <row r="4660" hidden="1" x14ac:dyDescent="0.3"/>
    <row r="4661" hidden="1" x14ac:dyDescent="0.3"/>
    <row r="4662" hidden="1" x14ac:dyDescent="0.3"/>
    <row r="4663" hidden="1" x14ac:dyDescent="0.3"/>
    <row r="4664" hidden="1" x14ac:dyDescent="0.3"/>
    <row r="4665" hidden="1" x14ac:dyDescent="0.3"/>
    <row r="4666" hidden="1" x14ac:dyDescent="0.3"/>
    <row r="4667" hidden="1" x14ac:dyDescent="0.3"/>
    <row r="4668" hidden="1" x14ac:dyDescent="0.3"/>
    <row r="4669" hidden="1" x14ac:dyDescent="0.3"/>
    <row r="4670" hidden="1" x14ac:dyDescent="0.3"/>
    <row r="4671" hidden="1" x14ac:dyDescent="0.3"/>
    <row r="4672" hidden="1" x14ac:dyDescent="0.3"/>
    <row r="4673" hidden="1" x14ac:dyDescent="0.3"/>
    <row r="4674" hidden="1" x14ac:dyDescent="0.3"/>
    <row r="4675" hidden="1" x14ac:dyDescent="0.3"/>
    <row r="4676" hidden="1" x14ac:dyDescent="0.3"/>
    <row r="4677" hidden="1" x14ac:dyDescent="0.3"/>
    <row r="4678" hidden="1" x14ac:dyDescent="0.3"/>
    <row r="4679" hidden="1" x14ac:dyDescent="0.3"/>
    <row r="4680" hidden="1" x14ac:dyDescent="0.3"/>
    <row r="4681" hidden="1" x14ac:dyDescent="0.3"/>
    <row r="4682" hidden="1" x14ac:dyDescent="0.3"/>
    <row r="4683" hidden="1" x14ac:dyDescent="0.3"/>
    <row r="4684" hidden="1" x14ac:dyDescent="0.3"/>
    <row r="4685" hidden="1" x14ac:dyDescent="0.3"/>
    <row r="4686" hidden="1" x14ac:dyDescent="0.3"/>
    <row r="4687" hidden="1" x14ac:dyDescent="0.3"/>
    <row r="4688" hidden="1" x14ac:dyDescent="0.3"/>
    <row r="4689" hidden="1" x14ac:dyDescent="0.3"/>
    <row r="4690" hidden="1" x14ac:dyDescent="0.3"/>
    <row r="4691" hidden="1" x14ac:dyDescent="0.3"/>
    <row r="4692" hidden="1" x14ac:dyDescent="0.3"/>
    <row r="4693" hidden="1" x14ac:dyDescent="0.3"/>
    <row r="4694" hidden="1" x14ac:dyDescent="0.3"/>
    <row r="4695" hidden="1" x14ac:dyDescent="0.3"/>
    <row r="4696" hidden="1" x14ac:dyDescent="0.3"/>
    <row r="4697" hidden="1" x14ac:dyDescent="0.3"/>
    <row r="4698" hidden="1" x14ac:dyDescent="0.3"/>
    <row r="4699" hidden="1" x14ac:dyDescent="0.3"/>
    <row r="4700" hidden="1" x14ac:dyDescent="0.3"/>
    <row r="4701" hidden="1" x14ac:dyDescent="0.3"/>
    <row r="4702" hidden="1" x14ac:dyDescent="0.3"/>
    <row r="4703" hidden="1" x14ac:dyDescent="0.3"/>
    <row r="4704" hidden="1" x14ac:dyDescent="0.3"/>
    <row r="4705" hidden="1" x14ac:dyDescent="0.3"/>
    <row r="4706" hidden="1" x14ac:dyDescent="0.3"/>
    <row r="4707" hidden="1" x14ac:dyDescent="0.3"/>
    <row r="4708" hidden="1" x14ac:dyDescent="0.3"/>
    <row r="4709" hidden="1" x14ac:dyDescent="0.3"/>
    <row r="4710" hidden="1" x14ac:dyDescent="0.3"/>
    <row r="4711" hidden="1" x14ac:dyDescent="0.3"/>
    <row r="4712" hidden="1" x14ac:dyDescent="0.3"/>
    <row r="4713" hidden="1" x14ac:dyDescent="0.3"/>
    <row r="4714" hidden="1" x14ac:dyDescent="0.3"/>
    <row r="4715" hidden="1" x14ac:dyDescent="0.3"/>
    <row r="4716" hidden="1" x14ac:dyDescent="0.3"/>
    <row r="4717" hidden="1" x14ac:dyDescent="0.3"/>
    <row r="4718" hidden="1" x14ac:dyDescent="0.3"/>
    <row r="4719" hidden="1" x14ac:dyDescent="0.3"/>
    <row r="4720" hidden="1" x14ac:dyDescent="0.3"/>
    <row r="4721" hidden="1" x14ac:dyDescent="0.3"/>
    <row r="4722" hidden="1" x14ac:dyDescent="0.3"/>
    <row r="4723" hidden="1" x14ac:dyDescent="0.3"/>
    <row r="4724" hidden="1" x14ac:dyDescent="0.3"/>
    <row r="4725" hidden="1" x14ac:dyDescent="0.3"/>
    <row r="4726" hidden="1" x14ac:dyDescent="0.3"/>
    <row r="4727" hidden="1" x14ac:dyDescent="0.3"/>
    <row r="4728" hidden="1" x14ac:dyDescent="0.3"/>
    <row r="4729" hidden="1" x14ac:dyDescent="0.3"/>
    <row r="4730" hidden="1" x14ac:dyDescent="0.3"/>
    <row r="4731" hidden="1" x14ac:dyDescent="0.3"/>
    <row r="4732" hidden="1" x14ac:dyDescent="0.3"/>
    <row r="4733" hidden="1" x14ac:dyDescent="0.3"/>
    <row r="4734" hidden="1" x14ac:dyDescent="0.3"/>
    <row r="4735" hidden="1" x14ac:dyDescent="0.3"/>
    <row r="4736" hidden="1" x14ac:dyDescent="0.3"/>
    <row r="4737" hidden="1" x14ac:dyDescent="0.3"/>
    <row r="4738" hidden="1" x14ac:dyDescent="0.3"/>
    <row r="4739" hidden="1" x14ac:dyDescent="0.3"/>
    <row r="4740" hidden="1" x14ac:dyDescent="0.3"/>
    <row r="4741" hidden="1" x14ac:dyDescent="0.3"/>
    <row r="4742" hidden="1" x14ac:dyDescent="0.3"/>
    <row r="4743" hidden="1" x14ac:dyDescent="0.3"/>
    <row r="4744" hidden="1" x14ac:dyDescent="0.3"/>
    <row r="4745" hidden="1" x14ac:dyDescent="0.3"/>
    <row r="4746" hidden="1" x14ac:dyDescent="0.3"/>
    <row r="4747" hidden="1" x14ac:dyDescent="0.3"/>
    <row r="4748" hidden="1" x14ac:dyDescent="0.3"/>
    <row r="4749" hidden="1" x14ac:dyDescent="0.3"/>
    <row r="4750" hidden="1" x14ac:dyDescent="0.3"/>
    <row r="4751" hidden="1" x14ac:dyDescent="0.3"/>
    <row r="4752" hidden="1" x14ac:dyDescent="0.3"/>
    <row r="4753" hidden="1" x14ac:dyDescent="0.3"/>
    <row r="4754" hidden="1" x14ac:dyDescent="0.3"/>
    <row r="4755" hidden="1" x14ac:dyDescent="0.3"/>
    <row r="4756" hidden="1" x14ac:dyDescent="0.3"/>
    <row r="4757" hidden="1" x14ac:dyDescent="0.3"/>
    <row r="4758" hidden="1" x14ac:dyDescent="0.3"/>
    <row r="4759" hidden="1" x14ac:dyDescent="0.3"/>
    <row r="4760" hidden="1" x14ac:dyDescent="0.3"/>
    <row r="4761" hidden="1" x14ac:dyDescent="0.3"/>
    <row r="4762" hidden="1" x14ac:dyDescent="0.3"/>
    <row r="4763" hidden="1" x14ac:dyDescent="0.3"/>
    <row r="4764" hidden="1" x14ac:dyDescent="0.3"/>
    <row r="4765" hidden="1" x14ac:dyDescent="0.3"/>
    <row r="4766" hidden="1" x14ac:dyDescent="0.3"/>
    <row r="4767" hidden="1" x14ac:dyDescent="0.3"/>
    <row r="4768" hidden="1" x14ac:dyDescent="0.3"/>
    <row r="4769" hidden="1" x14ac:dyDescent="0.3"/>
    <row r="4770" hidden="1" x14ac:dyDescent="0.3"/>
    <row r="4771" hidden="1" x14ac:dyDescent="0.3"/>
    <row r="4772" hidden="1" x14ac:dyDescent="0.3"/>
    <row r="4773" hidden="1" x14ac:dyDescent="0.3"/>
    <row r="4774" hidden="1" x14ac:dyDescent="0.3"/>
    <row r="4775" hidden="1" x14ac:dyDescent="0.3"/>
    <row r="4776" hidden="1" x14ac:dyDescent="0.3"/>
    <row r="4777" hidden="1" x14ac:dyDescent="0.3"/>
    <row r="4778" hidden="1" x14ac:dyDescent="0.3"/>
    <row r="4779" hidden="1" x14ac:dyDescent="0.3"/>
    <row r="4780" hidden="1" x14ac:dyDescent="0.3"/>
    <row r="4781" hidden="1" x14ac:dyDescent="0.3"/>
    <row r="4782" hidden="1" x14ac:dyDescent="0.3"/>
    <row r="4783" hidden="1" x14ac:dyDescent="0.3"/>
    <row r="4784" hidden="1" x14ac:dyDescent="0.3"/>
    <row r="4785" hidden="1" x14ac:dyDescent="0.3"/>
    <row r="4786" hidden="1" x14ac:dyDescent="0.3"/>
    <row r="4787" hidden="1" x14ac:dyDescent="0.3"/>
    <row r="4788" hidden="1" x14ac:dyDescent="0.3"/>
    <row r="4789" hidden="1" x14ac:dyDescent="0.3"/>
    <row r="4790" hidden="1" x14ac:dyDescent="0.3"/>
    <row r="4791" hidden="1" x14ac:dyDescent="0.3"/>
    <row r="4792" hidden="1" x14ac:dyDescent="0.3"/>
    <row r="4793" hidden="1" x14ac:dyDescent="0.3"/>
    <row r="4794" hidden="1" x14ac:dyDescent="0.3"/>
    <row r="4795" hidden="1" x14ac:dyDescent="0.3"/>
    <row r="4796" hidden="1" x14ac:dyDescent="0.3"/>
    <row r="4797" hidden="1" x14ac:dyDescent="0.3"/>
    <row r="4798" hidden="1" x14ac:dyDescent="0.3"/>
    <row r="4799" hidden="1" x14ac:dyDescent="0.3"/>
    <row r="4800" hidden="1" x14ac:dyDescent="0.3"/>
    <row r="4801" hidden="1" x14ac:dyDescent="0.3"/>
    <row r="4802" hidden="1" x14ac:dyDescent="0.3"/>
    <row r="4803" hidden="1" x14ac:dyDescent="0.3"/>
    <row r="4804" hidden="1" x14ac:dyDescent="0.3"/>
    <row r="4805" hidden="1" x14ac:dyDescent="0.3"/>
    <row r="4806" hidden="1" x14ac:dyDescent="0.3"/>
    <row r="4807" hidden="1" x14ac:dyDescent="0.3"/>
    <row r="4808" hidden="1" x14ac:dyDescent="0.3"/>
    <row r="4809" hidden="1" x14ac:dyDescent="0.3"/>
    <row r="4810" hidden="1" x14ac:dyDescent="0.3"/>
    <row r="4811" hidden="1" x14ac:dyDescent="0.3"/>
    <row r="4812" hidden="1" x14ac:dyDescent="0.3"/>
    <row r="4813" hidden="1" x14ac:dyDescent="0.3"/>
    <row r="4814" hidden="1" x14ac:dyDescent="0.3"/>
    <row r="4815" hidden="1" x14ac:dyDescent="0.3"/>
    <row r="4816" hidden="1" x14ac:dyDescent="0.3"/>
    <row r="4817" hidden="1" x14ac:dyDescent="0.3"/>
    <row r="4818" hidden="1" x14ac:dyDescent="0.3"/>
    <row r="4819" hidden="1" x14ac:dyDescent="0.3"/>
    <row r="4820" hidden="1" x14ac:dyDescent="0.3"/>
    <row r="4821" hidden="1" x14ac:dyDescent="0.3"/>
    <row r="4822" hidden="1" x14ac:dyDescent="0.3"/>
    <row r="4823" hidden="1" x14ac:dyDescent="0.3"/>
    <row r="4824" hidden="1" x14ac:dyDescent="0.3"/>
    <row r="4825" hidden="1" x14ac:dyDescent="0.3"/>
    <row r="4826" hidden="1" x14ac:dyDescent="0.3"/>
    <row r="4827" hidden="1" x14ac:dyDescent="0.3"/>
    <row r="4828" hidden="1" x14ac:dyDescent="0.3"/>
    <row r="4829" hidden="1" x14ac:dyDescent="0.3"/>
    <row r="4830" hidden="1" x14ac:dyDescent="0.3"/>
    <row r="4831" hidden="1" x14ac:dyDescent="0.3"/>
    <row r="4832" hidden="1" x14ac:dyDescent="0.3"/>
    <row r="4833" hidden="1" x14ac:dyDescent="0.3"/>
    <row r="4834" hidden="1" x14ac:dyDescent="0.3"/>
    <row r="4835" hidden="1" x14ac:dyDescent="0.3"/>
    <row r="4836" hidden="1" x14ac:dyDescent="0.3"/>
    <row r="4837" hidden="1" x14ac:dyDescent="0.3"/>
    <row r="4838" hidden="1" x14ac:dyDescent="0.3"/>
    <row r="4839" hidden="1" x14ac:dyDescent="0.3"/>
    <row r="4840" hidden="1" x14ac:dyDescent="0.3"/>
    <row r="4841" hidden="1" x14ac:dyDescent="0.3"/>
    <row r="4842" hidden="1" x14ac:dyDescent="0.3"/>
    <row r="4843" hidden="1" x14ac:dyDescent="0.3"/>
    <row r="4844" hidden="1" x14ac:dyDescent="0.3"/>
    <row r="4845" hidden="1" x14ac:dyDescent="0.3"/>
    <row r="4846" hidden="1" x14ac:dyDescent="0.3"/>
    <row r="4847" hidden="1" x14ac:dyDescent="0.3"/>
    <row r="4848" hidden="1" x14ac:dyDescent="0.3"/>
    <row r="4849" hidden="1" x14ac:dyDescent="0.3"/>
    <row r="4850" hidden="1" x14ac:dyDescent="0.3"/>
    <row r="4851" hidden="1" x14ac:dyDescent="0.3"/>
    <row r="4852" hidden="1" x14ac:dyDescent="0.3"/>
    <row r="4853" hidden="1" x14ac:dyDescent="0.3"/>
    <row r="4854" hidden="1" x14ac:dyDescent="0.3"/>
    <row r="4855" hidden="1" x14ac:dyDescent="0.3"/>
    <row r="4856" hidden="1" x14ac:dyDescent="0.3"/>
    <row r="4857" hidden="1" x14ac:dyDescent="0.3"/>
    <row r="4858" hidden="1" x14ac:dyDescent="0.3"/>
    <row r="4859" hidden="1" x14ac:dyDescent="0.3"/>
    <row r="4860" hidden="1" x14ac:dyDescent="0.3"/>
    <row r="4861" hidden="1" x14ac:dyDescent="0.3"/>
    <row r="4862" hidden="1" x14ac:dyDescent="0.3"/>
    <row r="4863" hidden="1" x14ac:dyDescent="0.3"/>
    <row r="4864" hidden="1" x14ac:dyDescent="0.3"/>
    <row r="4865" hidden="1" x14ac:dyDescent="0.3"/>
    <row r="4866" hidden="1" x14ac:dyDescent="0.3"/>
    <row r="4867" hidden="1" x14ac:dyDescent="0.3"/>
    <row r="4868" hidden="1" x14ac:dyDescent="0.3"/>
    <row r="4869" hidden="1" x14ac:dyDescent="0.3"/>
    <row r="4870" hidden="1" x14ac:dyDescent="0.3"/>
    <row r="4871" hidden="1" x14ac:dyDescent="0.3"/>
    <row r="4872" hidden="1" x14ac:dyDescent="0.3"/>
    <row r="4873" hidden="1" x14ac:dyDescent="0.3"/>
    <row r="4874" hidden="1" x14ac:dyDescent="0.3"/>
    <row r="4875" hidden="1" x14ac:dyDescent="0.3"/>
    <row r="4876" hidden="1" x14ac:dyDescent="0.3"/>
    <row r="4877" hidden="1" x14ac:dyDescent="0.3"/>
    <row r="4878" hidden="1" x14ac:dyDescent="0.3"/>
    <row r="4879" hidden="1" x14ac:dyDescent="0.3"/>
    <row r="4880" hidden="1" x14ac:dyDescent="0.3"/>
    <row r="4881" hidden="1" x14ac:dyDescent="0.3"/>
    <row r="4882" hidden="1" x14ac:dyDescent="0.3"/>
    <row r="4883" hidden="1" x14ac:dyDescent="0.3"/>
    <row r="4884" hidden="1" x14ac:dyDescent="0.3"/>
    <row r="4885" hidden="1" x14ac:dyDescent="0.3"/>
    <row r="4886" hidden="1" x14ac:dyDescent="0.3"/>
    <row r="4887" hidden="1" x14ac:dyDescent="0.3"/>
    <row r="4888" hidden="1" x14ac:dyDescent="0.3"/>
    <row r="4889" hidden="1" x14ac:dyDescent="0.3"/>
    <row r="4890" hidden="1" x14ac:dyDescent="0.3"/>
    <row r="4891" hidden="1" x14ac:dyDescent="0.3"/>
    <row r="4892" hidden="1" x14ac:dyDescent="0.3"/>
    <row r="4893" hidden="1" x14ac:dyDescent="0.3"/>
    <row r="4894" hidden="1" x14ac:dyDescent="0.3"/>
    <row r="4895" hidden="1" x14ac:dyDescent="0.3"/>
    <row r="4896" hidden="1" x14ac:dyDescent="0.3"/>
    <row r="4897" hidden="1" x14ac:dyDescent="0.3"/>
    <row r="4898" hidden="1" x14ac:dyDescent="0.3"/>
    <row r="4899" hidden="1" x14ac:dyDescent="0.3"/>
    <row r="4900" hidden="1" x14ac:dyDescent="0.3"/>
    <row r="4901" hidden="1" x14ac:dyDescent="0.3"/>
    <row r="4902" hidden="1" x14ac:dyDescent="0.3"/>
    <row r="4903" hidden="1" x14ac:dyDescent="0.3"/>
    <row r="4904" hidden="1" x14ac:dyDescent="0.3"/>
    <row r="4905" hidden="1" x14ac:dyDescent="0.3"/>
    <row r="4906" hidden="1" x14ac:dyDescent="0.3"/>
    <row r="4907" hidden="1" x14ac:dyDescent="0.3"/>
    <row r="4908" hidden="1" x14ac:dyDescent="0.3"/>
    <row r="4909" hidden="1" x14ac:dyDescent="0.3"/>
    <row r="4910" hidden="1" x14ac:dyDescent="0.3"/>
    <row r="4911" hidden="1" x14ac:dyDescent="0.3"/>
    <row r="4912" hidden="1" x14ac:dyDescent="0.3"/>
    <row r="4913" hidden="1" x14ac:dyDescent="0.3"/>
    <row r="4914" hidden="1" x14ac:dyDescent="0.3"/>
    <row r="4915" hidden="1" x14ac:dyDescent="0.3"/>
    <row r="4916" hidden="1" x14ac:dyDescent="0.3"/>
    <row r="4917" hidden="1" x14ac:dyDescent="0.3"/>
    <row r="4918" hidden="1" x14ac:dyDescent="0.3"/>
    <row r="4919" hidden="1" x14ac:dyDescent="0.3"/>
    <row r="4920" hidden="1" x14ac:dyDescent="0.3"/>
    <row r="4921" hidden="1" x14ac:dyDescent="0.3"/>
    <row r="4922" hidden="1" x14ac:dyDescent="0.3"/>
    <row r="4923" hidden="1" x14ac:dyDescent="0.3"/>
    <row r="4924" hidden="1" x14ac:dyDescent="0.3"/>
    <row r="4925" hidden="1" x14ac:dyDescent="0.3"/>
    <row r="4926" hidden="1" x14ac:dyDescent="0.3"/>
    <row r="4927" hidden="1" x14ac:dyDescent="0.3"/>
    <row r="4928" hidden="1" x14ac:dyDescent="0.3"/>
    <row r="4929" hidden="1" x14ac:dyDescent="0.3"/>
    <row r="4930" hidden="1" x14ac:dyDescent="0.3"/>
    <row r="4931" hidden="1" x14ac:dyDescent="0.3"/>
    <row r="4932" hidden="1" x14ac:dyDescent="0.3"/>
    <row r="4933" hidden="1" x14ac:dyDescent="0.3"/>
    <row r="4934" hidden="1" x14ac:dyDescent="0.3"/>
    <row r="4935" hidden="1" x14ac:dyDescent="0.3"/>
    <row r="4936" hidden="1" x14ac:dyDescent="0.3"/>
    <row r="4937" hidden="1" x14ac:dyDescent="0.3"/>
    <row r="4938" hidden="1" x14ac:dyDescent="0.3"/>
    <row r="4939" hidden="1" x14ac:dyDescent="0.3"/>
    <row r="4940" hidden="1" x14ac:dyDescent="0.3"/>
    <row r="4941" hidden="1" x14ac:dyDescent="0.3"/>
    <row r="4942" hidden="1" x14ac:dyDescent="0.3"/>
    <row r="4943" hidden="1" x14ac:dyDescent="0.3"/>
    <row r="4944" hidden="1" x14ac:dyDescent="0.3"/>
    <row r="4945" hidden="1" x14ac:dyDescent="0.3"/>
    <row r="4946" hidden="1" x14ac:dyDescent="0.3"/>
    <row r="4947" hidden="1" x14ac:dyDescent="0.3"/>
    <row r="4948" hidden="1" x14ac:dyDescent="0.3"/>
    <row r="4949" hidden="1" x14ac:dyDescent="0.3"/>
    <row r="4950" hidden="1" x14ac:dyDescent="0.3"/>
    <row r="4951" hidden="1" x14ac:dyDescent="0.3"/>
    <row r="4952" hidden="1" x14ac:dyDescent="0.3"/>
    <row r="4953" hidden="1" x14ac:dyDescent="0.3"/>
    <row r="4954" hidden="1" x14ac:dyDescent="0.3"/>
    <row r="4955" hidden="1" x14ac:dyDescent="0.3"/>
    <row r="4956" hidden="1" x14ac:dyDescent="0.3"/>
    <row r="4957" hidden="1" x14ac:dyDescent="0.3"/>
    <row r="4958" hidden="1" x14ac:dyDescent="0.3"/>
    <row r="4959" hidden="1" x14ac:dyDescent="0.3"/>
    <row r="4960" hidden="1" x14ac:dyDescent="0.3"/>
    <row r="4961" hidden="1" x14ac:dyDescent="0.3"/>
    <row r="4962" hidden="1" x14ac:dyDescent="0.3"/>
    <row r="4963" hidden="1" x14ac:dyDescent="0.3"/>
    <row r="4964" hidden="1" x14ac:dyDescent="0.3"/>
    <row r="4965" hidden="1" x14ac:dyDescent="0.3"/>
    <row r="4966" hidden="1" x14ac:dyDescent="0.3"/>
    <row r="4967" hidden="1" x14ac:dyDescent="0.3"/>
    <row r="4968" hidden="1" x14ac:dyDescent="0.3"/>
    <row r="4969" hidden="1" x14ac:dyDescent="0.3"/>
    <row r="4970" hidden="1" x14ac:dyDescent="0.3"/>
    <row r="4971" hidden="1" x14ac:dyDescent="0.3"/>
    <row r="4972" hidden="1" x14ac:dyDescent="0.3"/>
    <row r="4973" hidden="1" x14ac:dyDescent="0.3"/>
    <row r="4974" hidden="1" x14ac:dyDescent="0.3"/>
    <row r="4975" hidden="1" x14ac:dyDescent="0.3"/>
    <row r="4976" hidden="1" x14ac:dyDescent="0.3"/>
    <row r="4977" hidden="1" x14ac:dyDescent="0.3"/>
    <row r="4978" hidden="1" x14ac:dyDescent="0.3"/>
    <row r="4979" hidden="1" x14ac:dyDescent="0.3"/>
    <row r="4980" hidden="1" x14ac:dyDescent="0.3"/>
    <row r="4981" hidden="1" x14ac:dyDescent="0.3"/>
    <row r="4982" hidden="1" x14ac:dyDescent="0.3"/>
    <row r="4983" hidden="1" x14ac:dyDescent="0.3"/>
    <row r="4984" hidden="1" x14ac:dyDescent="0.3"/>
    <row r="4985" hidden="1" x14ac:dyDescent="0.3"/>
    <row r="4986" hidden="1" x14ac:dyDescent="0.3"/>
    <row r="4987" hidden="1" x14ac:dyDescent="0.3"/>
    <row r="4988" hidden="1" x14ac:dyDescent="0.3"/>
    <row r="4989" hidden="1" x14ac:dyDescent="0.3"/>
    <row r="4990" hidden="1" x14ac:dyDescent="0.3"/>
    <row r="4991" hidden="1" x14ac:dyDescent="0.3"/>
    <row r="4992" hidden="1" x14ac:dyDescent="0.3"/>
    <row r="4993" hidden="1" x14ac:dyDescent="0.3"/>
    <row r="4994" hidden="1" x14ac:dyDescent="0.3"/>
    <row r="4995" hidden="1" x14ac:dyDescent="0.3"/>
    <row r="4996" hidden="1" x14ac:dyDescent="0.3"/>
    <row r="4997" hidden="1" x14ac:dyDescent="0.3"/>
    <row r="4998" hidden="1" x14ac:dyDescent="0.3"/>
  </sheetData>
  <mergeCells count="10">
    <mergeCell ref="A1:I1"/>
    <mergeCell ref="A2:D2"/>
    <mergeCell ref="E2:I2"/>
    <mergeCell ref="E3:I3"/>
    <mergeCell ref="E4:I4"/>
    <mergeCell ref="E5:I5"/>
    <mergeCell ref="E6:I6"/>
    <mergeCell ref="E7:I7"/>
    <mergeCell ref="E8:I8"/>
    <mergeCell ref="A10:G10"/>
  </mergeCells>
  <conditionalFormatting sqref="D6">
    <cfRule type="expression" dxfId="61" priority="1">
      <formula>$D$6&gt;=$D$7</formula>
    </cfRule>
    <cfRule type="expression" dxfId="60" priority="2">
      <formula>$D$6&lt;$D$7</formula>
    </cfRule>
  </conditionalFormatting>
  <conditionalFormatting sqref="D8">
    <cfRule type="expression" dxfId="59" priority="3">
      <formula>$D$8="Erfüllt"</formula>
    </cfRule>
    <cfRule type="expression" dxfId="58" priority="4">
      <formula>$D$8="Nicht erfüllt"</formula>
    </cfRule>
  </conditionalFormatting>
  <dataValidations count="1">
    <dataValidation type="whole" showInputMessage="1" showErrorMessage="1" errorTitle="Ungültige Bewertung" error="Zulässig sind nur ganze Zahlen von 1 bis 5." promptTitle="Bewertung eingeben" prompt="Bitte eine ganze Zahl von 1 bis 5 eingeben." sqref="A12:E21" xr:uid="{BED374ED-BD00-4999-897F-C482893CAB19}">
      <formula1>1</formula1>
      <formula2>5</formula2>
    </dataValidation>
  </dataValidations>
  <pageMargins left="0.7" right="0.7" top="0.78740157499999996" bottom="0.78740157499999996" header="0.3" footer="0.3"/>
  <headerFooter>
    <oddHeader>&amp;L&amp;"DB Neo Office"&amp;11&amp;KEC0016           DB Intern / DB internal&amp;1#_x000D_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1AA3-ED89-4CFA-83E5-5A46A099BD28}">
  <dimension ref="A1:E4991"/>
  <sheetViews>
    <sheetView showGridLines="0" tabSelected="1" workbookViewId="0">
      <selection activeCell="B5013" sqref="B5013"/>
    </sheetView>
  </sheetViews>
  <sheetFormatPr baseColWidth="10" defaultRowHeight="14.4" x14ac:dyDescent="0.3"/>
  <cols>
    <col min="1" max="1" width="20" customWidth="1"/>
    <col min="2" max="2" width="19" customWidth="1"/>
    <col min="3" max="4" width="40" customWidth="1"/>
    <col min="5" max="5" width="19" customWidth="1"/>
    <col min="6" max="50" width="0" hidden="1" customWidth="1"/>
  </cols>
  <sheetData>
    <row r="1" spans="1:5" ht="32.1" customHeight="1" x14ac:dyDescent="0.45">
      <c r="A1" s="4" t="s">
        <v>28</v>
      </c>
      <c r="B1" s="4"/>
      <c r="C1" s="4"/>
      <c r="D1" s="4"/>
      <c r="E1" s="4"/>
    </row>
    <row r="2" spans="1:5" x14ac:dyDescent="0.3">
      <c r="A2" s="5" t="s">
        <v>1</v>
      </c>
      <c r="B2" s="5"/>
      <c r="C2" s="5"/>
      <c r="D2" s="5"/>
      <c r="E2" s="26" t="s">
        <v>33</v>
      </c>
    </row>
    <row r="3" spans="1:5" x14ac:dyDescent="0.3">
      <c r="A3" s="31" t="s">
        <v>29</v>
      </c>
      <c r="B3" s="31"/>
      <c r="C3" s="31"/>
      <c r="D3" s="58">
        <f>COUNTA(tblKalendersynchronisation[Testfall])</f>
        <v>10</v>
      </c>
      <c r="E3" s="60" t="s">
        <v>34</v>
      </c>
    </row>
    <row r="4" spans="1:5" x14ac:dyDescent="0.3">
      <c r="A4" s="31" t="s">
        <v>30</v>
      </c>
      <c r="B4" s="31"/>
      <c r="C4" s="31"/>
      <c r="D4" s="58">
        <f>COUNTIF(tblKalendersynchronisation[Status],"Erfolgreich")</f>
        <v>10</v>
      </c>
      <c r="E4" s="61" t="s">
        <v>35</v>
      </c>
    </row>
    <row r="5" spans="1:5" x14ac:dyDescent="0.3">
      <c r="A5" s="31" t="s">
        <v>31</v>
      </c>
      <c r="B5" s="31"/>
      <c r="C5" s="31"/>
      <c r="D5" s="58">
        <f>COUNTIF(tblKalendersynchronisation[Status],"Fehlgeschlagen")</f>
        <v>0</v>
      </c>
      <c r="E5" s="60" t="s">
        <v>36</v>
      </c>
    </row>
    <row r="6" spans="1:5" ht="27.6" x14ac:dyDescent="0.3">
      <c r="A6" s="31" t="s">
        <v>32</v>
      </c>
      <c r="B6" s="31"/>
      <c r="C6" s="31"/>
      <c r="D6" s="59">
        <f>IFERROR(D4/D3,0)</f>
        <v>1</v>
      </c>
      <c r="E6" s="61" t="s">
        <v>37</v>
      </c>
    </row>
    <row r="7" spans="1:5" x14ac:dyDescent="0.3">
      <c r="A7" s="31" t="s">
        <v>6</v>
      </c>
      <c r="B7" s="31"/>
      <c r="C7" s="31"/>
      <c r="D7" s="59">
        <v>0.9</v>
      </c>
      <c r="E7" s="15"/>
    </row>
    <row r="8" spans="1:5" x14ac:dyDescent="0.3">
      <c r="A8" s="56" t="s">
        <v>7</v>
      </c>
      <c r="B8" s="56"/>
      <c r="C8" s="56"/>
      <c r="D8" s="57" t="str">
        <f>IF(D6&gt;=D7,"Erfüllt","Nicht erfüllt")</f>
        <v>Erfüllt</v>
      </c>
      <c r="E8" s="15"/>
    </row>
    <row r="9" spans="1:5" x14ac:dyDescent="0.3">
      <c r="A9" s="15"/>
      <c r="B9" s="15"/>
      <c r="C9" s="15"/>
      <c r="D9" s="15"/>
      <c r="E9" s="15"/>
    </row>
    <row r="10" spans="1:5" x14ac:dyDescent="0.3">
      <c r="A10" s="5" t="s">
        <v>15</v>
      </c>
      <c r="B10" s="5"/>
      <c r="C10" s="5"/>
      <c r="D10" s="5"/>
      <c r="E10" s="5"/>
    </row>
    <row r="11" spans="1:5" ht="33.9" customHeight="1" thickBot="1" x14ac:dyDescent="0.35">
      <c r="A11" s="51" t="s">
        <v>38</v>
      </c>
      <c r="B11" s="52" t="s">
        <v>39</v>
      </c>
      <c r="C11" s="52" t="s">
        <v>40</v>
      </c>
      <c r="D11" s="52" t="s">
        <v>41</v>
      </c>
      <c r="E11" s="53" t="s">
        <v>42</v>
      </c>
    </row>
    <row r="12" spans="1:5" ht="15.6" thickTop="1" thickBot="1" x14ac:dyDescent="0.35">
      <c r="A12" s="54" t="s">
        <v>43</v>
      </c>
      <c r="B12" s="18" t="s">
        <v>44</v>
      </c>
      <c r="C12" s="55" t="s">
        <v>104</v>
      </c>
      <c r="D12" s="55" t="s">
        <v>105</v>
      </c>
      <c r="E12" s="2" t="s">
        <v>45</v>
      </c>
    </row>
    <row r="13" spans="1:5" ht="28.8" thickTop="1" thickBot="1" x14ac:dyDescent="0.35">
      <c r="A13" s="54" t="s">
        <v>46</v>
      </c>
      <c r="B13" s="18" t="s">
        <v>47</v>
      </c>
      <c r="C13" s="55" t="s">
        <v>106</v>
      </c>
      <c r="D13" s="55" t="s">
        <v>107</v>
      </c>
      <c r="E13" s="2" t="s">
        <v>45</v>
      </c>
    </row>
    <row r="14" spans="1:5" ht="28.8" thickTop="1" thickBot="1" x14ac:dyDescent="0.35">
      <c r="A14" s="54" t="s">
        <v>48</v>
      </c>
      <c r="B14" s="18" t="s">
        <v>44</v>
      </c>
      <c r="C14" s="55" t="s">
        <v>108</v>
      </c>
      <c r="D14" s="55" t="s">
        <v>109</v>
      </c>
      <c r="E14" s="2" t="s">
        <v>45</v>
      </c>
    </row>
    <row r="15" spans="1:5" ht="28.8" thickTop="1" thickBot="1" x14ac:dyDescent="0.35">
      <c r="A15" s="54" t="s">
        <v>49</v>
      </c>
      <c r="B15" s="18" t="s">
        <v>47</v>
      </c>
      <c r="C15" s="55" t="s">
        <v>110</v>
      </c>
      <c r="D15" s="55" t="s">
        <v>111</v>
      </c>
      <c r="E15" s="2" t="s">
        <v>45</v>
      </c>
    </row>
    <row r="16" spans="1:5" ht="28.8" thickTop="1" thickBot="1" x14ac:dyDescent="0.35">
      <c r="A16" s="54" t="s">
        <v>50</v>
      </c>
      <c r="B16" s="18" t="s">
        <v>44</v>
      </c>
      <c r="C16" s="55" t="s">
        <v>112</v>
      </c>
      <c r="D16" s="55" t="s">
        <v>113</v>
      </c>
      <c r="E16" s="2" t="s">
        <v>45</v>
      </c>
    </row>
    <row r="17" spans="1:5" ht="28.8" thickTop="1" thickBot="1" x14ac:dyDescent="0.35">
      <c r="A17" s="54" t="s">
        <v>51</v>
      </c>
      <c r="B17" s="18" t="s">
        <v>47</v>
      </c>
      <c r="C17" s="55" t="s">
        <v>114</v>
      </c>
      <c r="D17" s="55" t="s">
        <v>115</v>
      </c>
      <c r="E17" s="2" t="s">
        <v>45</v>
      </c>
    </row>
    <row r="18" spans="1:5" ht="28.8" thickTop="1" thickBot="1" x14ac:dyDescent="0.35">
      <c r="A18" s="54" t="s">
        <v>52</v>
      </c>
      <c r="B18" s="18" t="s">
        <v>44</v>
      </c>
      <c r="C18" s="55" t="s">
        <v>116</v>
      </c>
      <c r="D18" s="55" t="s">
        <v>117</v>
      </c>
      <c r="E18" s="2" t="s">
        <v>45</v>
      </c>
    </row>
    <row r="19" spans="1:5" ht="28.8" thickTop="1" thickBot="1" x14ac:dyDescent="0.35">
      <c r="A19" s="54" t="s">
        <v>53</v>
      </c>
      <c r="B19" s="18" t="s">
        <v>47</v>
      </c>
      <c r="C19" s="55" t="s">
        <v>118</v>
      </c>
      <c r="D19" s="55" t="s">
        <v>119</v>
      </c>
      <c r="E19" s="2" t="s">
        <v>45</v>
      </c>
    </row>
    <row r="20" spans="1:5" ht="28.8" thickTop="1" thickBot="1" x14ac:dyDescent="0.35">
      <c r="A20" s="54" t="s">
        <v>54</v>
      </c>
      <c r="B20" s="18" t="s">
        <v>44</v>
      </c>
      <c r="C20" s="55" t="s">
        <v>120</v>
      </c>
      <c r="D20" s="55" t="s">
        <v>121</v>
      </c>
      <c r="E20" s="2" t="s">
        <v>45</v>
      </c>
    </row>
    <row r="21" spans="1:5" ht="28.8" thickTop="1" thickBot="1" x14ac:dyDescent="0.35">
      <c r="A21" s="54" t="s">
        <v>55</v>
      </c>
      <c r="B21" s="18" t="s">
        <v>47</v>
      </c>
      <c r="C21" s="55" t="s">
        <v>122</v>
      </c>
      <c r="D21" s="55" t="s">
        <v>123</v>
      </c>
      <c r="E21" s="2" t="s">
        <v>45</v>
      </c>
    </row>
    <row r="22" spans="1:5" hidden="1" x14ac:dyDescent="0.3"/>
    <row r="23" spans="1:5" hidden="1" x14ac:dyDescent="0.3"/>
    <row r="24" spans="1:5" hidden="1" x14ac:dyDescent="0.3"/>
    <row r="25" spans="1:5" hidden="1" x14ac:dyDescent="0.3"/>
    <row r="26" spans="1:5" hidden="1" x14ac:dyDescent="0.3"/>
    <row r="27" spans="1:5" hidden="1" x14ac:dyDescent="0.3"/>
    <row r="28" spans="1:5" hidden="1" x14ac:dyDescent="0.3"/>
    <row r="29" spans="1:5" hidden="1" x14ac:dyDescent="0.3"/>
    <row r="30" spans="1:5" hidden="1" x14ac:dyDescent="0.3"/>
    <row r="31" spans="1:5" hidden="1" x14ac:dyDescent="0.3"/>
    <row r="32" spans="1:5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2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  <row r="380" hidden="1" x14ac:dyDescent="0.3"/>
    <row r="381" hidden="1" x14ac:dyDescent="0.3"/>
    <row r="382" hidden="1" x14ac:dyDescent="0.3"/>
    <row r="383" hidden="1" x14ac:dyDescent="0.3"/>
    <row r="384" hidden="1" x14ac:dyDescent="0.3"/>
    <row r="385" hidden="1" x14ac:dyDescent="0.3"/>
    <row r="386" hidden="1" x14ac:dyDescent="0.3"/>
    <row r="387" hidden="1" x14ac:dyDescent="0.3"/>
    <row r="388" hidden="1" x14ac:dyDescent="0.3"/>
    <row r="389" hidden="1" x14ac:dyDescent="0.3"/>
    <row r="390" hidden="1" x14ac:dyDescent="0.3"/>
    <row r="391" hidden="1" x14ac:dyDescent="0.3"/>
    <row r="392" hidden="1" x14ac:dyDescent="0.3"/>
    <row r="393" hidden="1" x14ac:dyDescent="0.3"/>
    <row r="394" hidden="1" x14ac:dyDescent="0.3"/>
    <row r="395" hidden="1" x14ac:dyDescent="0.3"/>
    <row r="396" hidden="1" x14ac:dyDescent="0.3"/>
    <row r="397" hidden="1" x14ac:dyDescent="0.3"/>
    <row r="398" hidden="1" x14ac:dyDescent="0.3"/>
    <row r="399" hidden="1" x14ac:dyDescent="0.3"/>
    <row r="400" hidden="1" x14ac:dyDescent="0.3"/>
    <row r="401" hidden="1" x14ac:dyDescent="0.3"/>
    <row r="402" hidden="1" x14ac:dyDescent="0.3"/>
    <row r="403" hidden="1" x14ac:dyDescent="0.3"/>
    <row r="404" hidden="1" x14ac:dyDescent="0.3"/>
    <row r="405" hidden="1" x14ac:dyDescent="0.3"/>
    <row r="406" hidden="1" x14ac:dyDescent="0.3"/>
    <row r="407" hidden="1" x14ac:dyDescent="0.3"/>
    <row r="408" hidden="1" x14ac:dyDescent="0.3"/>
    <row r="409" hidden="1" x14ac:dyDescent="0.3"/>
    <row r="410" hidden="1" x14ac:dyDescent="0.3"/>
    <row r="411" hidden="1" x14ac:dyDescent="0.3"/>
    <row r="412" hidden="1" x14ac:dyDescent="0.3"/>
    <row r="413" hidden="1" x14ac:dyDescent="0.3"/>
    <row r="414" hidden="1" x14ac:dyDescent="0.3"/>
    <row r="415" hidden="1" x14ac:dyDescent="0.3"/>
    <row r="416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  <row r="427" hidden="1" x14ac:dyDescent="0.3"/>
    <row r="428" hidden="1" x14ac:dyDescent="0.3"/>
    <row r="429" hidden="1" x14ac:dyDescent="0.3"/>
    <row r="430" hidden="1" x14ac:dyDescent="0.3"/>
    <row r="431" hidden="1" x14ac:dyDescent="0.3"/>
    <row r="432" hidden="1" x14ac:dyDescent="0.3"/>
    <row r="433" hidden="1" x14ac:dyDescent="0.3"/>
    <row r="434" hidden="1" x14ac:dyDescent="0.3"/>
    <row r="435" hidden="1" x14ac:dyDescent="0.3"/>
    <row r="436" hidden="1" x14ac:dyDescent="0.3"/>
    <row r="437" hidden="1" x14ac:dyDescent="0.3"/>
    <row r="438" hidden="1" x14ac:dyDescent="0.3"/>
    <row r="439" hidden="1" x14ac:dyDescent="0.3"/>
    <row r="440" hidden="1" x14ac:dyDescent="0.3"/>
    <row r="441" hidden="1" x14ac:dyDescent="0.3"/>
    <row r="442" hidden="1" x14ac:dyDescent="0.3"/>
    <row r="443" hidden="1" x14ac:dyDescent="0.3"/>
    <row r="444" hidden="1" x14ac:dyDescent="0.3"/>
    <row r="445" hidden="1" x14ac:dyDescent="0.3"/>
    <row r="446" hidden="1" x14ac:dyDescent="0.3"/>
    <row r="447" hidden="1" x14ac:dyDescent="0.3"/>
    <row r="448" hidden="1" x14ac:dyDescent="0.3"/>
    <row r="449" hidden="1" x14ac:dyDescent="0.3"/>
    <row r="450" hidden="1" x14ac:dyDescent="0.3"/>
    <row r="451" hidden="1" x14ac:dyDescent="0.3"/>
    <row r="452" hidden="1" x14ac:dyDescent="0.3"/>
    <row r="453" hidden="1" x14ac:dyDescent="0.3"/>
    <row r="454" hidden="1" x14ac:dyDescent="0.3"/>
    <row r="455" hidden="1" x14ac:dyDescent="0.3"/>
    <row r="456" hidden="1" x14ac:dyDescent="0.3"/>
    <row r="457" hidden="1" x14ac:dyDescent="0.3"/>
    <row r="458" hidden="1" x14ac:dyDescent="0.3"/>
    <row r="459" hidden="1" x14ac:dyDescent="0.3"/>
    <row r="460" hidden="1" x14ac:dyDescent="0.3"/>
    <row r="461" hidden="1" x14ac:dyDescent="0.3"/>
    <row r="462" hidden="1" x14ac:dyDescent="0.3"/>
    <row r="463" hidden="1" x14ac:dyDescent="0.3"/>
    <row r="464" hidden="1" x14ac:dyDescent="0.3"/>
    <row r="465" hidden="1" x14ac:dyDescent="0.3"/>
    <row r="466" hidden="1" x14ac:dyDescent="0.3"/>
    <row r="467" hidden="1" x14ac:dyDescent="0.3"/>
    <row r="468" hidden="1" x14ac:dyDescent="0.3"/>
    <row r="469" hidden="1" x14ac:dyDescent="0.3"/>
    <row r="470" hidden="1" x14ac:dyDescent="0.3"/>
    <row r="471" hidden="1" x14ac:dyDescent="0.3"/>
    <row r="472" hidden="1" x14ac:dyDescent="0.3"/>
    <row r="473" hidden="1" x14ac:dyDescent="0.3"/>
    <row r="474" hidden="1" x14ac:dyDescent="0.3"/>
    <row r="475" hidden="1" x14ac:dyDescent="0.3"/>
    <row r="476" hidden="1" x14ac:dyDescent="0.3"/>
    <row r="477" hidden="1" x14ac:dyDescent="0.3"/>
    <row r="478" hidden="1" x14ac:dyDescent="0.3"/>
    <row r="479" hidden="1" x14ac:dyDescent="0.3"/>
    <row r="480" hidden="1" x14ac:dyDescent="0.3"/>
    <row r="481" hidden="1" x14ac:dyDescent="0.3"/>
    <row r="482" hidden="1" x14ac:dyDescent="0.3"/>
    <row r="483" hidden="1" x14ac:dyDescent="0.3"/>
    <row r="484" hidden="1" x14ac:dyDescent="0.3"/>
    <row r="485" hidden="1" x14ac:dyDescent="0.3"/>
    <row r="486" hidden="1" x14ac:dyDescent="0.3"/>
    <row r="487" hidden="1" x14ac:dyDescent="0.3"/>
    <row r="488" hidden="1" x14ac:dyDescent="0.3"/>
    <row r="489" hidden="1" x14ac:dyDescent="0.3"/>
    <row r="490" hidden="1" x14ac:dyDescent="0.3"/>
    <row r="491" hidden="1" x14ac:dyDescent="0.3"/>
    <row r="492" hidden="1" x14ac:dyDescent="0.3"/>
    <row r="493" hidden="1" x14ac:dyDescent="0.3"/>
    <row r="494" hidden="1" x14ac:dyDescent="0.3"/>
    <row r="495" hidden="1" x14ac:dyDescent="0.3"/>
    <row r="496" hidden="1" x14ac:dyDescent="0.3"/>
    <row r="497" hidden="1" x14ac:dyDescent="0.3"/>
    <row r="498" hidden="1" x14ac:dyDescent="0.3"/>
    <row r="499" hidden="1" x14ac:dyDescent="0.3"/>
    <row r="500" hidden="1" x14ac:dyDescent="0.3"/>
    <row r="501" hidden="1" x14ac:dyDescent="0.3"/>
    <row r="502" hidden="1" x14ac:dyDescent="0.3"/>
    <row r="503" hidden="1" x14ac:dyDescent="0.3"/>
    <row r="504" hidden="1" x14ac:dyDescent="0.3"/>
    <row r="505" hidden="1" x14ac:dyDescent="0.3"/>
    <row r="506" hidden="1" x14ac:dyDescent="0.3"/>
    <row r="507" hidden="1" x14ac:dyDescent="0.3"/>
    <row r="508" hidden="1" x14ac:dyDescent="0.3"/>
    <row r="509" hidden="1" x14ac:dyDescent="0.3"/>
    <row r="510" hidden="1" x14ac:dyDescent="0.3"/>
    <row r="511" hidden="1" x14ac:dyDescent="0.3"/>
    <row r="51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  <row r="553" hidden="1" x14ac:dyDescent="0.3"/>
    <row r="554" hidden="1" x14ac:dyDescent="0.3"/>
    <row r="555" hidden="1" x14ac:dyDescent="0.3"/>
    <row r="556" hidden="1" x14ac:dyDescent="0.3"/>
    <row r="557" hidden="1" x14ac:dyDescent="0.3"/>
    <row r="558" hidden="1" x14ac:dyDescent="0.3"/>
    <row r="559" hidden="1" x14ac:dyDescent="0.3"/>
    <row r="560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2" hidden="1" x14ac:dyDescent="0.3"/>
    <row r="583" hidden="1" x14ac:dyDescent="0.3"/>
    <row r="584" hidden="1" x14ac:dyDescent="0.3"/>
    <row r="585" hidden="1" x14ac:dyDescent="0.3"/>
    <row r="586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2" hidden="1" x14ac:dyDescent="0.3"/>
    <row r="593" hidden="1" x14ac:dyDescent="0.3"/>
    <row r="594" hidden="1" x14ac:dyDescent="0.3"/>
    <row r="595" hidden="1" x14ac:dyDescent="0.3"/>
    <row r="596" hidden="1" x14ac:dyDescent="0.3"/>
    <row r="597" hidden="1" x14ac:dyDescent="0.3"/>
    <row r="598" hidden="1" x14ac:dyDescent="0.3"/>
    <row r="599" hidden="1" x14ac:dyDescent="0.3"/>
    <row r="600" hidden="1" x14ac:dyDescent="0.3"/>
    <row r="601" hidden="1" x14ac:dyDescent="0.3"/>
    <row r="602" hidden="1" x14ac:dyDescent="0.3"/>
    <row r="603" hidden="1" x14ac:dyDescent="0.3"/>
    <row r="604" hidden="1" x14ac:dyDescent="0.3"/>
    <row r="605" hidden="1" x14ac:dyDescent="0.3"/>
    <row r="606" hidden="1" x14ac:dyDescent="0.3"/>
    <row r="607" hidden="1" x14ac:dyDescent="0.3"/>
    <row r="608" hidden="1" x14ac:dyDescent="0.3"/>
    <row r="609" hidden="1" x14ac:dyDescent="0.3"/>
    <row r="610" hidden="1" x14ac:dyDescent="0.3"/>
    <row r="611" hidden="1" x14ac:dyDescent="0.3"/>
    <row r="612" hidden="1" x14ac:dyDescent="0.3"/>
    <row r="613" hidden="1" x14ac:dyDescent="0.3"/>
    <row r="614" hidden="1" x14ac:dyDescent="0.3"/>
    <row r="615" hidden="1" x14ac:dyDescent="0.3"/>
    <row r="616" hidden="1" x14ac:dyDescent="0.3"/>
    <row r="617" hidden="1" x14ac:dyDescent="0.3"/>
    <row r="618" hidden="1" x14ac:dyDescent="0.3"/>
    <row r="619" hidden="1" x14ac:dyDescent="0.3"/>
    <row r="620" hidden="1" x14ac:dyDescent="0.3"/>
    <row r="621" hidden="1" x14ac:dyDescent="0.3"/>
    <row r="622" hidden="1" x14ac:dyDescent="0.3"/>
    <row r="623" hidden="1" x14ac:dyDescent="0.3"/>
    <row r="624" hidden="1" x14ac:dyDescent="0.3"/>
    <row r="625" hidden="1" x14ac:dyDescent="0.3"/>
    <row r="626" hidden="1" x14ac:dyDescent="0.3"/>
    <row r="627" hidden="1" x14ac:dyDescent="0.3"/>
    <row r="628" hidden="1" x14ac:dyDescent="0.3"/>
    <row r="629" hidden="1" x14ac:dyDescent="0.3"/>
    <row r="630" hidden="1" x14ac:dyDescent="0.3"/>
    <row r="631" hidden="1" x14ac:dyDescent="0.3"/>
    <row r="632" hidden="1" x14ac:dyDescent="0.3"/>
    <row r="633" hidden="1" x14ac:dyDescent="0.3"/>
    <row r="634" hidden="1" x14ac:dyDescent="0.3"/>
    <row r="635" hidden="1" x14ac:dyDescent="0.3"/>
    <row r="636" hidden="1" x14ac:dyDescent="0.3"/>
    <row r="637" hidden="1" x14ac:dyDescent="0.3"/>
    <row r="638" hidden="1" x14ac:dyDescent="0.3"/>
    <row r="639" hidden="1" x14ac:dyDescent="0.3"/>
    <row r="640" hidden="1" x14ac:dyDescent="0.3"/>
    <row r="641" hidden="1" x14ac:dyDescent="0.3"/>
    <row r="642" hidden="1" x14ac:dyDescent="0.3"/>
    <row r="643" hidden="1" x14ac:dyDescent="0.3"/>
    <row r="644" hidden="1" x14ac:dyDescent="0.3"/>
    <row r="645" hidden="1" x14ac:dyDescent="0.3"/>
    <row r="646" hidden="1" x14ac:dyDescent="0.3"/>
    <row r="647" hidden="1" x14ac:dyDescent="0.3"/>
    <row r="648" hidden="1" x14ac:dyDescent="0.3"/>
    <row r="649" hidden="1" x14ac:dyDescent="0.3"/>
    <row r="650" hidden="1" x14ac:dyDescent="0.3"/>
    <row r="651" hidden="1" x14ac:dyDescent="0.3"/>
    <row r="652" hidden="1" x14ac:dyDescent="0.3"/>
    <row r="653" hidden="1" x14ac:dyDescent="0.3"/>
    <row r="654" hidden="1" x14ac:dyDescent="0.3"/>
    <row r="655" hidden="1" x14ac:dyDescent="0.3"/>
    <row r="656" hidden="1" x14ac:dyDescent="0.3"/>
    <row r="657" hidden="1" x14ac:dyDescent="0.3"/>
    <row r="658" hidden="1" x14ac:dyDescent="0.3"/>
    <row r="659" hidden="1" x14ac:dyDescent="0.3"/>
    <row r="660" hidden="1" x14ac:dyDescent="0.3"/>
    <row r="661" hidden="1" x14ac:dyDescent="0.3"/>
    <row r="662" hidden="1" x14ac:dyDescent="0.3"/>
    <row r="663" hidden="1" x14ac:dyDescent="0.3"/>
    <row r="664" hidden="1" x14ac:dyDescent="0.3"/>
    <row r="665" hidden="1" x14ac:dyDescent="0.3"/>
    <row r="666" hidden="1" x14ac:dyDescent="0.3"/>
    <row r="667" hidden="1" x14ac:dyDescent="0.3"/>
    <row r="668" hidden="1" x14ac:dyDescent="0.3"/>
    <row r="669" hidden="1" x14ac:dyDescent="0.3"/>
    <row r="670" hidden="1" x14ac:dyDescent="0.3"/>
    <row r="671" hidden="1" x14ac:dyDescent="0.3"/>
    <row r="672" hidden="1" x14ac:dyDescent="0.3"/>
    <row r="673" hidden="1" x14ac:dyDescent="0.3"/>
    <row r="674" hidden="1" x14ac:dyDescent="0.3"/>
    <row r="675" hidden="1" x14ac:dyDescent="0.3"/>
    <row r="676" hidden="1" x14ac:dyDescent="0.3"/>
    <row r="677" hidden="1" x14ac:dyDescent="0.3"/>
    <row r="678" hidden="1" x14ac:dyDescent="0.3"/>
    <row r="679" hidden="1" x14ac:dyDescent="0.3"/>
    <row r="680" hidden="1" x14ac:dyDescent="0.3"/>
    <row r="681" hidden="1" x14ac:dyDescent="0.3"/>
    <row r="682" hidden="1" x14ac:dyDescent="0.3"/>
    <row r="683" hidden="1" x14ac:dyDescent="0.3"/>
    <row r="684" hidden="1" x14ac:dyDescent="0.3"/>
    <row r="685" hidden="1" x14ac:dyDescent="0.3"/>
    <row r="686" hidden="1" x14ac:dyDescent="0.3"/>
    <row r="687" hidden="1" x14ac:dyDescent="0.3"/>
    <row r="688" hidden="1" x14ac:dyDescent="0.3"/>
    <row r="689" hidden="1" x14ac:dyDescent="0.3"/>
    <row r="690" hidden="1" x14ac:dyDescent="0.3"/>
    <row r="691" hidden="1" x14ac:dyDescent="0.3"/>
    <row r="692" hidden="1" x14ac:dyDescent="0.3"/>
    <row r="693" hidden="1" x14ac:dyDescent="0.3"/>
    <row r="694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5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1" hidden="1" x14ac:dyDescent="0.3"/>
    <row r="712" hidden="1" x14ac:dyDescent="0.3"/>
    <row r="713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hidden="1" x14ac:dyDescent="0.3"/>
    <row r="722" hidden="1" x14ac:dyDescent="0.3"/>
    <row r="723" hidden="1" x14ac:dyDescent="0.3"/>
    <row r="724" hidden="1" x14ac:dyDescent="0.3"/>
    <row r="725" hidden="1" x14ac:dyDescent="0.3"/>
    <row r="726" hidden="1" x14ac:dyDescent="0.3"/>
    <row r="727" hidden="1" x14ac:dyDescent="0.3"/>
    <row r="728" hidden="1" x14ac:dyDescent="0.3"/>
    <row r="729" hidden="1" x14ac:dyDescent="0.3"/>
    <row r="730" hidden="1" x14ac:dyDescent="0.3"/>
    <row r="731" hidden="1" x14ac:dyDescent="0.3"/>
    <row r="732" hidden="1" x14ac:dyDescent="0.3"/>
    <row r="733" hidden="1" x14ac:dyDescent="0.3"/>
    <row r="734" hidden="1" x14ac:dyDescent="0.3"/>
    <row r="735" hidden="1" x14ac:dyDescent="0.3"/>
    <row r="736" hidden="1" x14ac:dyDescent="0.3"/>
    <row r="737" hidden="1" x14ac:dyDescent="0.3"/>
    <row r="738" hidden="1" x14ac:dyDescent="0.3"/>
    <row r="739" hidden="1" x14ac:dyDescent="0.3"/>
    <row r="740" hidden="1" x14ac:dyDescent="0.3"/>
    <row r="741" hidden="1" x14ac:dyDescent="0.3"/>
    <row r="742" hidden="1" x14ac:dyDescent="0.3"/>
    <row r="743" hidden="1" x14ac:dyDescent="0.3"/>
    <row r="744" hidden="1" x14ac:dyDescent="0.3"/>
    <row r="745" hidden="1" x14ac:dyDescent="0.3"/>
    <row r="746" hidden="1" x14ac:dyDescent="0.3"/>
    <row r="747" hidden="1" x14ac:dyDescent="0.3"/>
    <row r="748" hidden="1" x14ac:dyDescent="0.3"/>
    <row r="749" hidden="1" x14ac:dyDescent="0.3"/>
    <row r="750" hidden="1" x14ac:dyDescent="0.3"/>
    <row r="751" hidden="1" x14ac:dyDescent="0.3"/>
    <row r="752" hidden="1" x14ac:dyDescent="0.3"/>
    <row r="753" hidden="1" x14ac:dyDescent="0.3"/>
    <row r="754" hidden="1" x14ac:dyDescent="0.3"/>
    <row r="755" hidden="1" x14ac:dyDescent="0.3"/>
    <row r="756" hidden="1" x14ac:dyDescent="0.3"/>
    <row r="757" hidden="1" x14ac:dyDescent="0.3"/>
    <row r="758" hidden="1" x14ac:dyDescent="0.3"/>
    <row r="759" hidden="1" x14ac:dyDescent="0.3"/>
    <row r="760" hidden="1" x14ac:dyDescent="0.3"/>
    <row r="761" hidden="1" x14ac:dyDescent="0.3"/>
    <row r="762" hidden="1" x14ac:dyDescent="0.3"/>
    <row r="763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2" hidden="1" x14ac:dyDescent="0.3"/>
    <row r="773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79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5" hidden="1" x14ac:dyDescent="0.3"/>
    <row r="786" hidden="1" x14ac:dyDescent="0.3"/>
    <row r="787" hidden="1" x14ac:dyDescent="0.3"/>
    <row r="788" hidden="1" x14ac:dyDescent="0.3"/>
    <row r="789" hidden="1" x14ac:dyDescent="0.3"/>
    <row r="790" hidden="1" x14ac:dyDescent="0.3"/>
    <row r="791" hidden="1" x14ac:dyDescent="0.3"/>
    <row r="792" hidden="1" x14ac:dyDescent="0.3"/>
    <row r="793" hidden="1" x14ac:dyDescent="0.3"/>
    <row r="794" hidden="1" x14ac:dyDescent="0.3"/>
    <row r="795" hidden="1" x14ac:dyDescent="0.3"/>
    <row r="796" hidden="1" x14ac:dyDescent="0.3"/>
    <row r="797" hidden="1" x14ac:dyDescent="0.3"/>
    <row r="798" hidden="1" x14ac:dyDescent="0.3"/>
    <row r="799" hidden="1" x14ac:dyDescent="0.3"/>
    <row r="800" hidden="1" x14ac:dyDescent="0.3"/>
    <row r="801" hidden="1" x14ac:dyDescent="0.3"/>
    <row r="802" hidden="1" x14ac:dyDescent="0.3"/>
    <row r="803" hidden="1" x14ac:dyDescent="0.3"/>
    <row r="804" hidden="1" x14ac:dyDescent="0.3"/>
    <row r="805" hidden="1" x14ac:dyDescent="0.3"/>
    <row r="806" hidden="1" x14ac:dyDescent="0.3"/>
    <row r="807" hidden="1" x14ac:dyDescent="0.3"/>
    <row r="808" hidden="1" x14ac:dyDescent="0.3"/>
    <row r="809" hidden="1" x14ac:dyDescent="0.3"/>
    <row r="810" hidden="1" x14ac:dyDescent="0.3"/>
    <row r="811" hidden="1" x14ac:dyDescent="0.3"/>
    <row r="812" hidden="1" x14ac:dyDescent="0.3"/>
    <row r="813" hidden="1" x14ac:dyDescent="0.3"/>
    <row r="814" hidden="1" x14ac:dyDescent="0.3"/>
    <row r="815" hidden="1" x14ac:dyDescent="0.3"/>
    <row r="816" hidden="1" x14ac:dyDescent="0.3"/>
    <row r="817" hidden="1" x14ac:dyDescent="0.3"/>
    <row r="818" hidden="1" x14ac:dyDescent="0.3"/>
    <row r="819" hidden="1" x14ac:dyDescent="0.3"/>
    <row r="820" hidden="1" x14ac:dyDescent="0.3"/>
    <row r="821" hidden="1" x14ac:dyDescent="0.3"/>
    <row r="822" hidden="1" x14ac:dyDescent="0.3"/>
    <row r="823" hidden="1" x14ac:dyDescent="0.3"/>
    <row r="824" hidden="1" x14ac:dyDescent="0.3"/>
    <row r="825" hidden="1" x14ac:dyDescent="0.3"/>
    <row r="826" hidden="1" x14ac:dyDescent="0.3"/>
    <row r="827" hidden="1" x14ac:dyDescent="0.3"/>
    <row r="828" hidden="1" x14ac:dyDescent="0.3"/>
    <row r="829" hidden="1" x14ac:dyDescent="0.3"/>
    <row r="830" hidden="1" x14ac:dyDescent="0.3"/>
    <row r="831" hidden="1" x14ac:dyDescent="0.3"/>
    <row r="832" hidden="1" x14ac:dyDescent="0.3"/>
    <row r="833" hidden="1" x14ac:dyDescent="0.3"/>
    <row r="834" hidden="1" x14ac:dyDescent="0.3"/>
    <row r="835" hidden="1" x14ac:dyDescent="0.3"/>
    <row r="836" hidden="1" x14ac:dyDescent="0.3"/>
    <row r="837" hidden="1" x14ac:dyDescent="0.3"/>
    <row r="838" hidden="1" x14ac:dyDescent="0.3"/>
    <row r="839" hidden="1" x14ac:dyDescent="0.3"/>
    <row r="840" hidden="1" x14ac:dyDescent="0.3"/>
    <row r="841" hidden="1" x14ac:dyDescent="0.3"/>
    <row r="842" hidden="1" x14ac:dyDescent="0.3"/>
    <row r="843" hidden="1" x14ac:dyDescent="0.3"/>
    <row r="844" hidden="1" x14ac:dyDescent="0.3"/>
    <row r="845" hidden="1" x14ac:dyDescent="0.3"/>
    <row r="846" hidden="1" x14ac:dyDescent="0.3"/>
    <row r="847" hidden="1" x14ac:dyDescent="0.3"/>
    <row r="848" hidden="1" x14ac:dyDescent="0.3"/>
    <row r="849" hidden="1" x14ac:dyDescent="0.3"/>
    <row r="850" hidden="1" x14ac:dyDescent="0.3"/>
    <row r="851" hidden="1" x14ac:dyDescent="0.3"/>
    <row r="852" hidden="1" x14ac:dyDescent="0.3"/>
    <row r="853" hidden="1" x14ac:dyDescent="0.3"/>
    <row r="854" hidden="1" x14ac:dyDescent="0.3"/>
    <row r="855" hidden="1" x14ac:dyDescent="0.3"/>
    <row r="856" hidden="1" x14ac:dyDescent="0.3"/>
    <row r="857" hidden="1" x14ac:dyDescent="0.3"/>
    <row r="858" hidden="1" x14ac:dyDescent="0.3"/>
    <row r="859" hidden="1" x14ac:dyDescent="0.3"/>
    <row r="860" hidden="1" x14ac:dyDescent="0.3"/>
    <row r="861" hidden="1" x14ac:dyDescent="0.3"/>
    <row r="862" hidden="1" x14ac:dyDescent="0.3"/>
    <row r="863" hidden="1" x14ac:dyDescent="0.3"/>
    <row r="864" hidden="1" x14ac:dyDescent="0.3"/>
    <row r="865" hidden="1" x14ac:dyDescent="0.3"/>
    <row r="866" hidden="1" x14ac:dyDescent="0.3"/>
    <row r="867" hidden="1" x14ac:dyDescent="0.3"/>
    <row r="868" hidden="1" x14ac:dyDescent="0.3"/>
    <row r="869" hidden="1" x14ac:dyDescent="0.3"/>
    <row r="870" hidden="1" x14ac:dyDescent="0.3"/>
    <row r="871" hidden="1" x14ac:dyDescent="0.3"/>
    <row r="872" hidden="1" x14ac:dyDescent="0.3"/>
    <row r="873" hidden="1" x14ac:dyDescent="0.3"/>
    <row r="874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3" hidden="1" x14ac:dyDescent="0.3"/>
    <row r="884" hidden="1" x14ac:dyDescent="0.3"/>
    <row r="885" hidden="1" x14ac:dyDescent="0.3"/>
    <row r="886" hidden="1" x14ac:dyDescent="0.3"/>
    <row r="887" hidden="1" x14ac:dyDescent="0.3"/>
    <row r="888" hidden="1" x14ac:dyDescent="0.3"/>
    <row r="889" hidden="1" x14ac:dyDescent="0.3"/>
    <row r="890" hidden="1" x14ac:dyDescent="0.3"/>
    <row r="891" hidden="1" x14ac:dyDescent="0.3"/>
    <row r="892" hidden="1" x14ac:dyDescent="0.3"/>
    <row r="893" hidden="1" x14ac:dyDescent="0.3"/>
    <row r="894" hidden="1" x14ac:dyDescent="0.3"/>
    <row r="895" hidden="1" x14ac:dyDescent="0.3"/>
    <row r="896" hidden="1" x14ac:dyDescent="0.3"/>
    <row r="897" hidden="1" x14ac:dyDescent="0.3"/>
    <row r="898" hidden="1" x14ac:dyDescent="0.3"/>
    <row r="899" hidden="1" x14ac:dyDescent="0.3"/>
    <row r="900" hidden="1" x14ac:dyDescent="0.3"/>
    <row r="901" hidden="1" x14ac:dyDescent="0.3"/>
    <row r="902" hidden="1" x14ac:dyDescent="0.3"/>
    <row r="903" hidden="1" x14ac:dyDescent="0.3"/>
    <row r="904" hidden="1" x14ac:dyDescent="0.3"/>
    <row r="905" hidden="1" x14ac:dyDescent="0.3"/>
    <row r="906" hidden="1" x14ac:dyDescent="0.3"/>
    <row r="907" hidden="1" x14ac:dyDescent="0.3"/>
    <row r="908" hidden="1" x14ac:dyDescent="0.3"/>
    <row r="909" hidden="1" x14ac:dyDescent="0.3"/>
    <row r="910" hidden="1" x14ac:dyDescent="0.3"/>
    <row r="911" hidden="1" x14ac:dyDescent="0.3"/>
    <row r="912" hidden="1" x14ac:dyDescent="0.3"/>
    <row r="913" hidden="1" x14ac:dyDescent="0.3"/>
    <row r="914" hidden="1" x14ac:dyDescent="0.3"/>
    <row r="915" hidden="1" x14ac:dyDescent="0.3"/>
    <row r="916" hidden="1" x14ac:dyDescent="0.3"/>
    <row r="917" hidden="1" x14ac:dyDescent="0.3"/>
    <row r="918" hidden="1" x14ac:dyDescent="0.3"/>
    <row r="919" hidden="1" x14ac:dyDescent="0.3"/>
    <row r="920" hidden="1" x14ac:dyDescent="0.3"/>
    <row r="921" hidden="1" x14ac:dyDescent="0.3"/>
    <row r="922" hidden="1" x14ac:dyDescent="0.3"/>
    <row r="923" hidden="1" x14ac:dyDescent="0.3"/>
    <row r="924" hidden="1" x14ac:dyDescent="0.3"/>
    <row r="925" hidden="1" x14ac:dyDescent="0.3"/>
    <row r="926" hidden="1" x14ac:dyDescent="0.3"/>
    <row r="927" hidden="1" x14ac:dyDescent="0.3"/>
    <row r="928" hidden="1" x14ac:dyDescent="0.3"/>
    <row r="929" hidden="1" x14ac:dyDescent="0.3"/>
    <row r="930" hidden="1" x14ac:dyDescent="0.3"/>
    <row r="931" hidden="1" x14ac:dyDescent="0.3"/>
    <row r="932" hidden="1" x14ac:dyDescent="0.3"/>
    <row r="933" hidden="1" x14ac:dyDescent="0.3"/>
    <row r="934" hidden="1" x14ac:dyDescent="0.3"/>
    <row r="935" hidden="1" x14ac:dyDescent="0.3"/>
    <row r="936" hidden="1" x14ac:dyDescent="0.3"/>
    <row r="937" hidden="1" x14ac:dyDescent="0.3"/>
    <row r="938" hidden="1" x14ac:dyDescent="0.3"/>
    <row r="939" hidden="1" x14ac:dyDescent="0.3"/>
    <row r="940" hidden="1" x14ac:dyDescent="0.3"/>
    <row r="941" hidden="1" x14ac:dyDescent="0.3"/>
    <row r="942" hidden="1" x14ac:dyDescent="0.3"/>
    <row r="943" hidden="1" x14ac:dyDescent="0.3"/>
    <row r="944" hidden="1" x14ac:dyDescent="0.3"/>
    <row r="945" hidden="1" x14ac:dyDescent="0.3"/>
    <row r="946" hidden="1" x14ac:dyDescent="0.3"/>
    <row r="947" hidden="1" x14ac:dyDescent="0.3"/>
    <row r="948" hidden="1" x14ac:dyDescent="0.3"/>
    <row r="949" hidden="1" x14ac:dyDescent="0.3"/>
    <row r="950" hidden="1" x14ac:dyDescent="0.3"/>
    <row r="951" hidden="1" x14ac:dyDescent="0.3"/>
    <row r="952" hidden="1" x14ac:dyDescent="0.3"/>
    <row r="953" hidden="1" x14ac:dyDescent="0.3"/>
    <row r="954" hidden="1" x14ac:dyDescent="0.3"/>
    <row r="955" hidden="1" x14ac:dyDescent="0.3"/>
    <row r="956" hidden="1" x14ac:dyDescent="0.3"/>
    <row r="957" hidden="1" x14ac:dyDescent="0.3"/>
    <row r="958" hidden="1" x14ac:dyDescent="0.3"/>
    <row r="959" hidden="1" x14ac:dyDescent="0.3"/>
    <row r="960" hidden="1" x14ac:dyDescent="0.3"/>
    <row r="961" hidden="1" x14ac:dyDescent="0.3"/>
    <row r="962" hidden="1" x14ac:dyDescent="0.3"/>
    <row r="963" hidden="1" x14ac:dyDescent="0.3"/>
    <row r="964" hidden="1" x14ac:dyDescent="0.3"/>
    <row r="965" hidden="1" x14ac:dyDescent="0.3"/>
    <row r="966" hidden="1" x14ac:dyDescent="0.3"/>
    <row r="967" hidden="1" x14ac:dyDescent="0.3"/>
    <row r="968" hidden="1" x14ac:dyDescent="0.3"/>
    <row r="969" hidden="1" x14ac:dyDescent="0.3"/>
    <row r="970" hidden="1" x14ac:dyDescent="0.3"/>
    <row r="971" hidden="1" x14ac:dyDescent="0.3"/>
    <row r="972" hidden="1" x14ac:dyDescent="0.3"/>
    <row r="973" hidden="1" x14ac:dyDescent="0.3"/>
    <row r="974" hidden="1" x14ac:dyDescent="0.3"/>
    <row r="975" hidden="1" x14ac:dyDescent="0.3"/>
    <row r="976" hidden="1" x14ac:dyDescent="0.3"/>
    <row r="977" hidden="1" x14ac:dyDescent="0.3"/>
    <row r="978" hidden="1" x14ac:dyDescent="0.3"/>
    <row r="979" hidden="1" x14ac:dyDescent="0.3"/>
    <row r="980" hidden="1" x14ac:dyDescent="0.3"/>
    <row r="981" hidden="1" x14ac:dyDescent="0.3"/>
    <row r="982" hidden="1" x14ac:dyDescent="0.3"/>
    <row r="983" hidden="1" x14ac:dyDescent="0.3"/>
    <row r="984" hidden="1" x14ac:dyDescent="0.3"/>
    <row r="985" hidden="1" x14ac:dyDescent="0.3"/>
    <row r="986" hidden="1" x14ac:dyDescent="0.3"/>
    <row r="987" hidden="1" x14ac:dyDescent="0.3"/>
    <row r="988" hidden="1" x14ac:dyDescent="0.3"/>
    <row r="989" hidden="1" x14ac:dyDescent="0.3"/>
    <row r="990" hidden="1" x14ac:dyDescent="0.3"/>
    <row r="991" hidden="1" x14ac:dyDescent="0.3"/>
    <row r="992" hidden="1" x14ac:dyDescent="0.3"/>
    <row r="993" hidden="1" x14ac:dyDescent="0.3"/>
    <row r="994" hidden="1" x14ac:dyDescent="0.3"/>
    <row r="995" hidden="1" x14ac:dyDescent="0.3"/>
    <row r="996" hidden="1" x14ac:dyDescent="0.3"/>
    <row r="997" hidden="1" x14ac:dyDescent="0.3"/>
    <row r="998" hidden="1" x14ac:dyDescent="0.3"/>
    <row r="999" hidden="1" x14ac:dyDescent="0.3"/>
    <row r="1000" hidden="1" x14ac:dyDescent="0.3"/>
    <row r="1001" hidden="1" x14ac:dyDescent="0.3"/>
    <row r="1002" hidden="1" x14ac:dyDescent="0.3"/>
    <row r="1003" hidden="1" x14ac:dyDescent="0.3"/>
    <row r="1004" hidden="1" x14ac:dyDescent="0.3"/>
    <row r="1005" hidden="1" x14ac:dyDescent="0.3"/>
    <row r="1006" hidden="1" x14ac:dyDescent="0.3"/>
    <row r="1007" hidden="1" x14ac:dyDescent="0.3"/>
    <row r="1008" hidden="1" x14ac:dyDescent="0.3"/>
    <row r="1009" hidden="1" x14ac:dyDescent="0.3"/>
    <row r="1010" hidden="1" x14ac:dyDescent="0.3"/>
    <row r="1011" hidden="1" x14ac:dyDescent="0.3"/>
    <row r="1012" hidden="1" x14ac:dyDescent="0.3"/>
    <row r="1013" hidden="1" x14ac:dyDescent="0.3"/>
    <row r="1014" hidden="1" x14ac:dyDescent="0.3"/>
    <row r="1015" hidden="1" x14ac:dyDescent="0.3"/>
    <row r="1016" hidden="1" x14ac:dyDescent="0.3"/>
    <row r="1017" hidden="1" x14ac:dyDescent="0.3"/>
    <row r="1018" hidden="1" x14ac:dyDescent="0.3"/>
    <row r="1019" hidden="1" x14ac:dyDescent="0.3"/>
    <row r="1020" hidden="1" x14ac:dyDescent="0.3"/>
    <row r="1021" hidden="1" x14ac:dyDescent="0.3"/>
    <row r="1022" hidden="1" x14ac:dyDescent="0.3"/>
    <row r="1023" hidden="1" x14ac:dyDescent="0.3"/>
    <row r="1024" hidden="1" x14ac:dyDescent="0.3"/>
    <row r="1025" hidden="1" x14ac:dyDescent="0.3"/>
    <row r="1026" hidden="1" x14ac:dyDescent="0.3"/>
    <row r="1027" hidden="1" x14ac:dyDescent="0.3"/>
    <row r="1028" hidden="1" x14ac:dyDescent="0.3"/>
    <row r="1029" hidden="1" x14ac:dyDescent="0.3"/>
    <row r="1030" hidden="1" x14ac:dyDescent="0.3"/>
    <row r="1031" hidden="1" x14ac:dyDescent="0.3"/>
    <row r="1032" hidden="1" x14ac:dyDescent="0.3"/>
    <row r="1033" hidden="1" x14ac:dyDescent="0.3"/>
    <row r="1034" hidden="1" x14ac:dyDescent="0.3"/>
    <row r="1035" hidden="1" x14ac:dyDescent="0.3"/>
    <row r="1036" hidden="1" x14ac:dyDescent="0.3"/>
    <row r="1037" hidden="1" x14ac:dyDescent="0.3"/>
    <row r="1038" hidden="1" x14ac:dyDescent="0.3"/>
    <row r="1039" hidden="1" x14ac:dyDescent="0.3"/>
    <row r="1040" hidden="1" x14ac:dyDescent="0.3"/>
    <row r="1041" hidden="1" x14ac:dyDescent="0.3"/>
    <row r="1042" hidden="1" x14ac:dyDescent="0.3"/>
    <row r="1043" hidden="1" x14ac:dyDescent="0.3"/>
    <row r="1044" hidden="1" x14ac:dyDescent="0.3"/>
    <row r="1045" hidden="1" x14ac:dyDescent="0.3"/>
    <row r="1046" hidden="1" x14ac:dyDescent="0.3"/>
    <row r="1047" hidden="1" x14ac:dyDescent="0.3"/>
    <row r="1048" hidden="1" x14ac:dyDescent="0.3"/>
    <row r="1049" hidden="1" x14ac:dyDescent="0.3"/>
    <row r="1050" hidden="1" x14ac:dyDescent="0.3"/>
    <row r="1051" hidden="1" x14ac:dyDescent="0.3"/>
    <row r="1052" hidden="1" x14ac:dyDescent="0.3"/>
    <row r="1053" hidden="1" x14ac:dyDescent="0.3"/>
    <row r="1054" hidden="1" x14ac:dyDescent="0.3"/>
    <row r="1055" hidden="1" x14ac:dyDescent="0.3"/>
    <row r="1056" hidden="1" x14ac:dyDescent="0.3"/>
    <row r="1057" hidden="1" x14ac:dyDescent="0.3"/>
    <row r="1058" hidden="1" x14ac:dyDescent="0.3"/>
    <row r="1059" hidden="1" x14ac:dyDescent="0.3"/>
    <row r="1060" hidden="1" x14ac:dyDescent="0.3"/>
    <row r="1061" hidden="1" x14ac:dyDescent="0.3"/>
    <row r="1062" hidden="1" x14ac:dyDescent="0.3"/>
    <row r="1063" hidden="1" x14ac:dyDescent="0.3"/>
    <row r="1064" hidden="1" x14ac:dyDescent="0.3"/>
    <row r="1065" hidden="1" x14ac:dyDescent="0.3"/>
    <row r="1066" hidden="1" x14ac:dyDescent="0.3"/>
    <row r="1067" hidden="1" x14ac:dyDescent="0.3"/>
    <row r="1068" hidden="1" x14ac:dyDescent="0.3"/>
    <row r="1069" hidden="1" x14ac:dyDescent="0.3"/>
    <row r="1070" hidden="1" x14ac:dyDescent="0.3"/>
    <row r="1071" hidden="1" x14ac:dyDescent="0.3"/>
    <row r="1072" hidden="1" x14ac:dyDescent="0.3"/>
    <row r="1073" hidden="1" x14ac:dyDescent="0.3"/>
    <row r="1074" hidden="1" x14ac:dyDescent="0.3"/>
    <row r="1075" hidden="1" x14ac:dyDescent="0.3"/>
    <row r="1076" hidden="1" x14ac:dyDescent="0.3"/>
    <row r="1077" hidden="1" x14ac:dyDescent="0.3"/>
    <row r="1078" hidden="1" x14ac:dyDescent="0.3"/>
    <row r="1079" hidden="1" x14ac:dyDescent="0.3"/>
    <row r="1080" hidden="1" x14ac:dyDescent="0.3"/>
    <row r="1081" hidden="1" x14ac:dyDescent="0.3"/>
    <row r="1082" hidden="1" x14ac:dyDescent="0.3"/>
    <row r="1083" hidden="1" x14ac:dyDescent="0.3"/>
    <row r="1084" hidden="1" x14ac:dyDescent="0.3"/>
    <row r="1085" hidden="1" x14ac:dyDescent="0.3"/>
    <row r="1086" hidden="1" x14ac:dyDescent="0.3"/>
    <row r="1087" hidden="1" x14ac:dyDescent="0.3"/>
    <row r="1088" hidden="1" x14ac:dyDescent="0.3"/>
    <row r="1089" hidden="1" x14ac:dyDescent="0.3"/>
    <row r="1090" hidden="1" x14ac:dyDescent="0.3"/>
    <row r="1091" hidden="1" x14ac:dyDescent="0.3"/>
    <row r="1092" hidden="1" x14ac:dyDescent="0.3"/>
    <row r="1093" hidden="1" x14ac:dyDescent="0.3"/>
    <row r="1094" hidden="1" x14ac:dyDescent="0.3"/>
    <row r="1095" hidden="1" x14ac:dyDescent="0.3"/>
    <row r="1096" hidden="1" x14ac:dyDescent="0.3"/>
    <row r="1097" hidden="1" x14ac:dyDescent="0.3"/>
    <row r="1098" hidden="1" x14ac:dyDescent="0.3"/>
    <row r="1099" hidden="1" x14ac:dyDescent="0.3"/>
    <row r="1100" hidden="1" x14ac:dyDescent="0.3"/>
    <row r="1101" hidden="1" x14ac:dyDescent="0.3"/>
    <row r="1102" hidden="1" x14ac:dyDescent="0.3"/>
    <row r="1103" hidden="1" x14ac:dyDescent="0.3"/>
    <row r="1104" hidden="1" x14ac:dyDescent="0.3"/>
    <row r="1105" hidden="1" x14ac:dyDescent="0.3"/>
    <row r="1106" hidden="1" x14ac:dyDescent="0.3"/>
    <row r="1107" hidden="1" x14ac:dyDescent="0.3"/>
    <row r="1108" hidden="1" x14ac:dyDescent="0.3"/>
    <row r="1109" hidden="1" x14ac:dyDescent="0.3"/>
    <row r="1110" hidden="1" x14ac:dyDescent="0.3"/>
    <row r="1111" hidden="1" x14ac:dyDescent="0.3"/>
    <row r="1112" hidden="1" x14ac:dyDescent="0.3"/>
    <row r="1113" hidden="1" x14ac:dyDescent="0.3"/>
    <row r="1114" hidden="1" x14ac:dyDescent="0.3"/>
    <row r="1115" hidden="1" x14ac:dyDescent="0.3"/>
    <row r="1116" hidden="1" x14ac:dyDescent="0.3"/>
    <row r="1117" hidden="1" x14ac:dyDescent="0.3"/>
    <row r="1118" hidden="1" x14ac:dyDescent="0.3"/>
    <row r="1119" hidden="1" x14ac:dyDescent="0.3"/>
    <row r="1120" hidden="1" x14ac:dyDescent="0.3"/>
    <row r="1121" hidden="1" x14ac:dyDescent="0.3"/>
    <row r="1122" hidden="1" x14ac:dyDescent="0.3"/>
    <row r="1123" hidden="1" x14ac:dyDescent="0.3"/>
    <row r="1124" hidden="1" x14ac:dyDescent="0.3"/>
    <row r="1125" hidden="1" x14ac:dyDescent="0.3"/>
    <row r="1126" hidden="1" x14ac:dyDescent="0.3"/>
    <row r="1127" hidden="1" x14ac:dyDescent="0.3"/>
    <row r="1128" hidden="1" x14ac:dyDescent="0.3"/>
    <row r="1129" hidden="1" x14ac:dyDescent="0.3"/>
    <row r="1130" hidden="1" x14ac:dyDescent="0.3"/>
    <row r="1131" hidden="1" x14ac:dyDescent="0.3"/>
    <row r="1132" hidden="1" x14ac:dyDescent="0.3"/>
    <row r="1133" hidden="1" x14ac:dyDescent="0.3"/>
    <row r="1134" hidden="1" x14ac:dyDescent="0.3"/>
    <row r="1135" hidden="1" x14ac:dyDescent="0.3"/>
    <row r="1136" hidden="1" x14ac:dyDescent="0.3"/>
    <row r="1137" hidden="1" x14ac:dyDescent="0.3"/>
    <row r="1138" hidden="1" x14ac:dyDescent="0.3"/>
    <row r="1139" hidden="1" x14ac:dyDescent="0.3"/>
    <row r="1140" hidden="1" x14ac:dyDescent="0.3"/>
    <row r="1141" hidden="1" x14ac:dyDescent="0.3"/>
    <row r="1142" hidden="1" x14ac:dyDescent="0.3"/>
    <row r="1143" hidden="1" x14ac:dyDescent="0.3"/>
    <row r="1144" hidden="1" x14ac:dyDescent="0.3"/>
    <row r="1145" hidden="1" x14ac:dyDescent="0.3"/>
    <row r="1146" hidden="1" x14ac:dyDescent="0.3"/>
    <row r="1147" hidden="1" x14ac:dyDescent="0.3"/>
    <row r="1148" hidden="1" x14ac:dyDescent="0.3"/>
    <row r="1149" hidden="1" x14ac:dyDescent="0.3"/>
    <row r="1150" hidden="1" x14ac:dyDescent="0.3"/>
    <row r="1151" hidden="1" x14ac:dyDescent="0.3"/>
    <row r="1152" hidden="1" x14ac:dyDescent="0.3"/>
    <row r="1153" hidden="1" x14ac:dyDescent="0.3"/>
    <row r="1154" hidden="1" x14ac:dyDescent="0.3"/>
    <row r="1155" hidden="1" x14ac:dyDescent="0.3"/>
    <row r="1156" hidden="1" x14ac:dyDescent="0.3"/>
    <row r="1157" hidden="1" x14ac:dyDescent="0.3"/>
    <row r="1158" hidden="1" x14ac:dyDescent="0.3"/>
    <row r="1159" hidden="1" x14ac:dyDescent="0.3"/>
    <row r="1160" hidden="1" x14ac:dyDescent="0.3"/>
    <row r="1161" hidden="1" x14ac:dyDescent="0.3"/>
    <row r="1162" hidden="1" x14ac:dyDescent="0.3"/>
    <row r="1163" hidden="1" x14ac:dyDescent="0.3"/>
    <row r="1164" hidden="1" x14ac:dyDescent="0.3"/>
    <row r="1165" hidden="1" x14ac:dyDescent="0.3"/>
    <row r="1166" hidden="1" x14ac:dyDescent="0.3"/>
    <row r="1167" hidden="1" x14ac:dyDescent="0.3"/>
    <row r="1168" hidden="1" x14ac:dyDescent="0.3"/>
    <row r="1169" hidden="1" x14ac:dyDescent="0.3"/>
    <row r="1170" hidden="1" x14ac:dyDescent="0.3"/>
    <row r="1171" hidden="1" x14ac:dyDescent="0.3"/>
    <row r="1172" hidden="1" x14ac:dyDescent="0.3"/>
    <row r="1173" hidden="1" x14ac:dyDescent="0.3"/>
    <row r="1174" hidden="1" x14ac:dyDescent="0.3"/>
    <row r="1175" hidden="1" x14ac:dyDescent="0.3"/>
    <row r="1176" hidden="1" x14ac:dyDescent="0.3"/>
    <row r="1177" hidden="1" x14ac:dyDescent="0.3"/>
    <row r="1178" hidden="1" x14ac:dyDescent="0.3"/>
    <row r="1179" hidden="1" x14ac:dyDescent="0.3"/>
    <row r="1180" hidden="1" x14ac:dyDescent="0.3"/>
    <row r="1181" hidden="1" x14ac:dyDescent="0.3"/>
    <row r="1182" hidden="1" x14ac:dyDescent="0.3"/>
    <row r="1183" hidden="1" x14ac:dyDescent="0.3"/>
    <row r="1184" hidden="1" x14ac:dyDescent="0.3"/>
    <row r="1185" hidden="1" x14ac:dyDescent="0.3"/>
    <row r="1186" hidden="1" x14ac:dyDescent="0.3"/>
    <row r="1187" hidden="1" x14ac:dyDescent="0.3"/>
    <row r="1188" hidden="1" x14ac:dyDescent="0.3"/>
    <row r="1189" hidden="1" x14ac:dyDescent="0.3"/>
    <row r="1190" hidden="1" x14ac:dyDescent="0.3"/>
    <row r="1191" hidden="1" x14ac:dyDescent="0.3"/>
    <row r="1192" hidden="1" x14ac:dyDescent="0.3"/>
    <row r="1193" hidden="1" x14ac:dyDescent="0.3"/>
    <row r="1194" hidden="1" x14ac:dyDescent="0.3"/>
    <row r="1195" hidden="1" x14ac:dyDescent="0.3"/>
    <row r="1196" hidden="1" x14ac:dyDescent="0.3"/>
    <row r="1197" hidden="1" x14ac:dyDescent="0.3"/>
    <row r="1198" hidden="1" x14ac:dyDescent="0.3"/>
    <row r="1199" hidden="1" x14ac:dyDescent="0.3"/>
    <row r="1200" hidden="1" x14ac:dyDescent="0.3"/>
    <row r="1201" hidden="1" x14ac:dyDescent="0.3"/>
    <row r="1202" hidden="1" x14ac:dyDescent="0.3"/>
    <row r="1203" hidden="1" x14ac:dyDescent="0.3"/>
    <row r="1204" hidden="1" x14ac:dyDescent="0.3"/>
    <row r="1205" hidden="1" x14ac:dyDescent="0.3"/>
    <row r="1206" hidden="1" x14ac:dyDescent="0.3"/>
    <row r="1207" hidden="1" x14ac:dyDescent="0.3"/>
    <row r="1208" hidden="1" x14ac:dyDescent="0.3"/>
    <row r="1209" hidden="1" x14ac:dyDescent="0.3"/>
    <row r="1210" hidden="1" x14ac:dyDescent="0.3"/>
    <row r="1211" hidden="1" x14ac:dyDescent="0.3"/>
    <row r="1212" hidden="1" x14ac:dyDescent="0.3"/>
    <row r="1213" hidden="1" x14ac:dyDescent="0.3"/>
    <row r="1214" hidden="1" x14ac:dyDescent="0.3"/>
    <row r="1215" hidden="1" x14ac:dyDescent="0.3"/>
    <row r="1216" hidden="1" x14ac:dyDescent="0.3"/>
    <row r="1217" hidden="1" x14ac:dyDescent="0.3"/>
    <row r="1218" hidden="1" x14ac:dyDescent="0.3"/>
    <row r="1219" hidden="1" x14ac:dyDescent="0.3"/>
    <row r="1220" hidden="1" x14ac:dyDescent="0.3"/>
    <row r="1221" hidden="1" x14ac:dyDescent="0.3"/>
    <row r="1222" hidden="1" x14ac:dyDescent="0.3"/>
    <row r="1223" hidden="1" x14ac:dyDescent="0.3"/>
    <row r="1224" hidden="1" x14ac:dyDescent="0.3"/>
    <row r="1225" hidden="1" x14ac:dyDescent="0.3"/>
    <row r="1226" hidden="1" x14ac:dyDescent="0.3"/>
    <row r="1227" hidden="1" x14ac:dyDescent="0.3"/>
    <row r="1228" hidden="1" x14ac:dyDescent="0.3"/>
    <row r="1229" hidden="1" x14ac:dyDescent="0.3"/>
    <row r="1230" hidden="1" x14ac:dyDescent="0.3"/>
    <row r="1231" hidden="1" x14ac:dyDescent="0.3"/>
    <row r="1232" hidden="1" x14ac:dyDescent="0.3"/>
    <row r="1233" hidden="1" x14ac:dyDescent="0.3"/>
    <row r="1234" hidden="1" x14ac:dyDescent="0.3"/>
    <row r="1235" hidden="1" x14ac:dyDescent="0.3"/>
    <row r="1236" hidden="1" x14ac:dyDescent="0.3"/>
    <row r="1237" hidden="1" x14ac:dyDescent="0.3"/>
    <row r="1238" hidden="1" x14ac:dyDescent="0.3"/>
    <row r="1239" hidden="1" x14ac:dyDescent="0.3"/>
    <row r="1240" hidden="1" x14ac:dyDescent="0.3"/>
    <row r="1241" hidden="1" x14ac:dyDescent="0.3"/>
    <row r="1242" hidden="1" x14ac:dyDescent="0.3"/>
    <row r="1243" hidden="1" x14ac:dyDescent="0.3"/>
    <row r="1244" hidden="1" x14ac:dyDescent="0.3"/>
    <row r="1245" hidden="1" x14ac:dyDescent="0.3"/>
    <row r="1246" hidden="1" x14ac:dyDescent="0.3"/>
    <row r="1247" hidden="1" x14ac:dyDescent="0.3"/>
    <row r="1248" hidden="1" x14ac:dyDescent="0.3"/>
    <row r="1249" hidden="1" x14ac:dyDescent="0.3"/>
    <row r="1250" hidden="1" x14ac:dyDescent="0.3"/>
    <row r="1251" hidden="1" x14ac:dyDescent="0.3"/>
    <row r="1252" hidden="1" x14ac:dyDescent="0.3"/>
    <row r="1253" hidden="1" x14ac:dyDescent="0.3"/>
    <row r="1254" hidden="1" x14ac:dyDescent="0.3"/>
    <row r="1255" hidden="1" x14ac:dyDescent="0.3"/>
    <row r="1256" hidden="1" x14ac:dyDescent="0.3"/>
    <row r="1257" hidden="1" x14ac:dyDescent="0.3"/>
    <row r="1258" hidden="1" x14ac:dyDescent="0.3"/>
    <row r="1259" hidden="1" x14ac:dyDescent="0.3"/>
    <row r="1260" hidden="1" x14ac:dyDescent="0.3"/>
    <row r="1261" hidden="1" x14ac:dyDescent="0.3"/>
    <row r="1262" hidden="1" x14ac:dyDescent="0.3"/>
    <row r="1263" hidden="1" x14ac:dyDescent="0.3"/>
    <row r="1264" hidden="1" x14ac:dyDescent="0.3"/>
    <row r="1265" hidden="1" x14ac:dyDescent="0.3"/>
    <row r="1266" hidden="1" x14ac:dyDescent="0.3"/>
    <row r="1267" hidden="1" x14ac:dyDescent="0.3"/>
    <row r="1268" hidden="1" x14ac:dyDescent="0.3"/>
    <row r="1269" hidden="1" x14ac:dyDescent="0.3"/>
    <row r="1270" hidden="1" x14ac:dyDescent="0.3"/>
    <row r="1271" hidden="1" x14ac:dyDescent="0.3"/>
    <row r="1272" hidden="1" x14ac:dyDescent="0.3"/>
    <row r="1273" hidden="1" x14ac:dyDescent="0.3"/>
    <row r="1274" hidden="1" x14ac:dyDescent="0.3"/>
    <row r="1275" hidden="1" x14ac:dyDescent="0.3"/>
    <row r="1276" hidden="1" x14ac:dyDescent="0.3"/>
    <row r="1277" hidden="1" x14ac:dyDescent="0.3"/>
    <row r="1278" hidden="1" x14ac:dyDescent="0.3"/>
    <row r="1279" hidden="1" x14ac:dyDescent="0.3"/>
    <row r="1280" hidden="1" x14ac:dyDescent="0.3"/>
    <row r="1281" hidden="1" x14ac:dyDescent="0.3"/>
    <row r="1282" hidden="1" x14ac:dyDescent="0.3"/>
    <row r="1283" hidden="1" x14ac:dyDescent="0.3"/>
    <row r="1284" hidden="1" x14ac:dyDescent="0.3"/>
    <row r="1285" hidden="1" x14ac:dyDescent="0.3"/>
    <row r="1286" hidden="1" x14ac:dyDescent="0.3"/>
    <row r="1287" hidden="1" x14ac:dyDescent="0.3"/>
    <row r="1288" hidden="1" x14ac:dyDescent="0.3"/>
    <row r="1289" hidden="1" x14ac:dyDescent="0.3"/>
    <row r="1290" hidden="1" x14ac:dyDescent="0.3"/>
    <row r="1291" hidden="1" x14ac:dyDescent="0.3"/>
    <row r="1292" hidden="1" x14ac:dyDescent="0.3"/>
    <row r="1293" hidden="1" x14ac:dyDescent="0.3"/>
    <row r="1294" hidden="1" x14ac:dyDescent="0.3"/>
    <row r="1295" hidden="1" x14ac:dyDescent="0.3"/>
    <row r="1296" hidden="1" x14ac:dyDescent="0.3"/>
    <row r="1297" hidden="1" x14ac:dyDescent="0.3"/>
    <row r="1298" hidden="1" x14ac:dyDescent="0.3"/>
    <row r="1299" hidden="1" x14ac:dyDescent="0.3"/>
    <row r="1300" hidden="1" x14ac:dyDescent="0.3"/>
    <row r="1301" hidden="1" x14ac:dyDescent="0.3"/>
    <row r="1302" hidden="1" x14ac:dyDescent="0.3"/>
    <row r="1303" hidden="1" x14ac:dyDescent="0.3"/>
    <row r="1304" hidden="1" x14ac:dyDescent="0.3"/>
    <row r="1305" hidden="1" x14ac:dyDescent="0.3"/>
    <row r="1306" hidden="1" x14ac:dyDescent="0.3"/>
    <row r="1307" hidden="1" x14ac:dyDescent="0.3"/>
    <row r="1308" hidden="1" x14ac:dyDescent="0.3"/>
    <row r="1309" hidden="1" x14ac:dyDescent="0.3"/>
    <row r="1310" hidden="1" x14ac:dyDescent="0.3"/>
    <row r="1311" hidden="1" x14ac:dyDescent="0.3"/>
    <row r="1312" hidden="1" x14ac:dyDescent="0.3"/>
    <row r="1313" hidden="1" x14ac:dyDescent="0.3"/>
    <row r="1314" hidden="1" x14ac:dyDescent="0.3"/>
    <row r="1315" hidden="1" x14ac:dyDescent="0.3"/>
    <row r="1316" hidden="1" x14ac:dyDescent="0.3"/>
    <row r="1317" hidden="1" x14ac:dyDescent="0.3"/>
    <row r="1318" hidden="1" x14ac:dyDescent="0.3"/>
    <row r="1319" hidden="1" x14ac:dyDescent="0.3"/>
    <row r="1320" hidden="1" x14ac:dyDescent="0.3"/>
    <row r="1321" hidden="1" x14ac:dyDescent="0.3"/>
    <row r="1322" hidden="1" x14ac:dyDescent="0.3"/>
    <row r="1323" hidden="1" x14ac:dyDescent="0.3"/>
    <row r="1324" hidden="1" x14ac:dyDescent="0.3"/>
    <row r="1325" hidden="1" x14ac:dyDescent="0.3"/>
    <row r="1326" hidden="1" x14ac:dyDescent="0.3"/>
    <row r="1327" hidden="1" x14ac:dyDescent="0.3"/>
    <row r="1328" hidden="1" x14ac:dyDescent="0.3"/>
    <row r="1329" hidden="1" x14ac:dyDescent="0.3"/>
    <row r="1330" hidden="1" x14ac:dyDescent="0.3"/>
    <row r="1331" hidden="1" x14ac:dyDescent="0.3"/>
    <row r="1332" hidden="1" x14ac:dyDescent="0.3"/>
    <row r="1333" hidden="1" x14ac:dyDescent="0.3"/>
    <row r="1334" hidden="1" x14ac:dyDescent="0.3"/>
    <row r="1335" hidden="1" x14ac:dyDescent="0.3"/>
    <row r="1336" hidden="1" x14ac:dyDescent="0.3"/>
    <row r="1337" hidden="1" x14ac:dyDescent="0.3"/>
    <row r="1338" hidden="1" x14ac:dyDescent="0.3"/>
    <row r="1339" hidden="1" x14ac:dyDescent="0.3"/>
    <row r="1340" hidden="1" x14ac:dyDescent="0.3"/>
    <row r="1341" hidden="1" x14ac:dyDescent="0.3"/>
    <row r="1342" hidden="1" x14ac:dyDescent="0.3"/>
    <row r="1343" hidden="1" x14ac:dyDescent="0.3"/>
    <row r="1344" hidden="1" x14ac:dyDescent="0.3"/>
    <row r="1345" hidden="1" x14ac:dyDescent="0.3"/>
    <row r="1346" hidden="1" x14ac:dyDescent="0.3"/>
    <row r="1347" hidden="1" x14ac:dyDescent="0.3"/>
    <row r="1348" hidden="1" x14ac:dyDescent="0.3"/>
    <row r="1349" hidden="1" x14ac:dyDescent="0.3"/>
    <row r="1350" hidden="1" x14ac:dyDescent="0.3"/>
    <row r="1351" hidden="1" x14ac:dyDescent="0.3"/>
    <row r="1352" hidden="1" x14ac:dyDescent="0.3"/>
    <row r="1353" hidden="1" x14ac:dyDescent="0.3"/>
    <row r="1354" hidden="1" x14ac:dyDescent="0.3"/>
    <row r="1355" hidden="1" x14ac:dyDescent="0.3"/>
    <row r="1356" hidden="1" x14ac:dyDescent="0.3"/>
    <row r="1357" hidden="1" x14ac:dyDescent="0.3"/>
    <row r="1358" hidden="1" x14ac:dyDescent="0.3"/>
    <row r="1359" hidden="1" x14ac:dyDescent="0.3"/>
    <row r="1360" hidden="1" x14ac:dyDescent="0.3"/>
    <row r="1361" hidden="1" x14ac:dyDescent="0.3"/>
    <row r="1362" hidden="1" x14ac:dyDescent="0.3"/>
    <row r="1363" hidden="1" x14ac:dyDescent="0.3"/>
    <row r="1364" hidden="1" x14ac:dyDescent="0.3"/>
    <row r="1365" hidden="1" x14ac:dyDescent="0.3"/>
    <row r="1366" hidden="1" x14ac:dyDescent="0.3"/>
    <row r="1367" hidden="1" x14ac:dyDescent="0.3"/>
    <row r="1368" hidden="1" x14ac:dyDescent="0.3"/>
    <row r="1369" hidden="1" x14ac:dyDescent="0.3"/>
    <row r="1370" hidden="1" x14ac:dyDescent="0.3"/>
    <row r="1371" hidden="1" x14ac:dyDescent="0.3"/>
    <row r="1372" hidden="1" x14ac:dyDescent="0.3"/>
    <row r="1373" hidden="1" x14ac:dyDescent="0.3"/>
    <row r="1374" hidden="1" x14ac:dyDescent="0.3"/>
    <row r="1375" hidden="1" x14ac:dyDescent="0.3"/>
    <row r="1376" hidden="1" x14ac:dyDescent="0.3"/>
    <row r="1377" hidden="1" x14ac:dyDescent="0.3"/>
    <row r="1378" hidden="1" x14ac:dyDescent="0.3"/>
    <row r="1379" hidden="1" x14ac:dyDescent="0.3"/>
    <row r="1380" hidden="1" x14ac:dyDescent="0.3"/>
    <row r="1381" hidden="1" x14ac:dyDescent="0.3"/>
    <row r="1382" hidden="1" x14ac:dyDescent="0.3"/>
    <row r="1383" hidden="1" x14ac:dyDescent="0.3"/>
    <row r="1384" hidden="1" x14ac:dyDescent="0.3"/>
    <row r="1385" hidden="1" x14ac:dyDescent="0.3"/>
    <row r="1386" hidden="1" x14ac:dyDescent="0.3"/>
    <row r="1387" hidden="1" x14ac:dyDescent="0.3"/>
    <row r="1388" hidden="1" x14ac:dyDescent="0.3"/>
    <row r="1389" hidden="1" x14ac:dyDescent="0.3"/>
    <row r="1390" hidden="1" x14ac:dyDescent="0.3"/>
    <row r="1391" hidden="1" x14ac:dyDescent="0.3"/>
    <row r="1392" hidden="1" x14ac:dyDescent="0.3"/>
    <row r="1393" hidden="1" x14ac:dyDescent="0.3"/>
    <row r="1394" hidden="1" x14ac:dyDescent="0.3"/>
    <row r="1395" hidden="1" x14ac:dyDescent="0.3"/>
    <row r="1396" hidden="1" x14ac:dyDescent="0.3"/>
    <row r="1397" hidden="1" x14ac:dyDescent="0.3"/>
    <row r="1398" hidden="1" x14ac:dyDescent="0.3"/>
    <row r="1399" hidden="1" x14ac:dyDescent="0.3"/>
    <row r="1400" hidden="1" x14ac:dyDescent="0.3"/>
    <row r="1401" hidden="1" x14ac:dyDescent="0.3"/>
    <row r="1402" hidden="1" x14ac:dyDescent="0.3"/>
    <row r="1403" hidden="1" x14ac:dyDescent="0.3"/>
    <row r="1404" hidden="1" x14ac:dyDescent="0.3"/>
    <row r="1405" hidden="1" x14ac:dyDescent="0.3"/>
    <row r="1406" hidden="1" x14ac:dyDescent="0.3"/>
    <row r="1407" hidden="1" x14ac:dyDescent="0.3"/>
    <row r="1408" hidden="1" x14ac:dyDescent="0.3"/>
    <row r="1409" hidden="1" x14ac:dyDescent="0.3"/>
    <row r="1410" hidden="1" x14ac:dyDescent="0.3"/>
    <row r="1411" hidden="1" x14ac:dyDescent="0.3"/>
    <row r="1412" hidden="1" x14ac:dyDescent="0.3"/>
    <row r="1413" hidden="1" x14ac:dyDescent="0.3"/>
    <row r="1414" hidden="1" x14ac:dyDescent="0.3"/>
    <row r="1415" hidden="1" x14ac:dyDescent="0.3"/>
    <row r="1416" hidden="1" x14ac:dyDescent="0.3"/>
    <row r="1417" hidden="1" x14ac:dyDescent="0.3"/>
    <row r="1418" hidden="1" x14ac:dyDescent="0.3"/>
    <row r="1419" hidden="1" x14ac:dyDescent="0.3"/>
    <row r="1420" hidden="1" x14ac:dyDescent="0.3"/>
    <row r="1421" hidden="1" x14ac:dyDescent="0.3"/>
    <row r="1422" hidden="1" x14ac:dyDescent="0.3"/>
    <row r="1423" hidden="1" x14ac:dyDescent="0.3"/>
    <row r="1424" hidden="1" x14ac:dyDescent="0.3"/>
    <row r="1425" hidden="1" x14ac:dyDescent="0.3"/>
    <row r="1426" hidden="1" x14ac:dyDescent="0.3"/>
    <row r="1427" hidden="1" x14ac:dyDescent="0.3"/>
    <row r="1428" hidden="1" x14ac:dyDescent="0.3"/>
    <row r="1429" hidden="1" x14ac:dyDescent="0.3"/>
    <row r="1430" hidden="1" x14ac:dyDescent="0.3"/>
    <row r="1431" hidden="1" x14ac:dyDescent="0.3"/>
    <row r="1432" hidden="1" x14ac:dyDescent="0.3"/>
    <row r="1433" hidden="1" x14ac:dyDescent="0.3"/>
    <row r="1434" hidden="1" x14ac:dyDescent="0.3"/>
    <row r="1435" hidden="1" x14ac:dyDescent="0.3"/>
    <row r="1436" hidden="1" x14ac:dyDescent="0.3"/>
    <row r="1437" hidden="1" x14ac:dyDescent="0.3"/>
    <row r="1438" hidden="1" x14ac:dyDescent="0.3"/>
    <row r="1439" hidden="1" x14ac:dyDescent="0.3"/>
    <row r="1440" hidden="1" x14ac:dyDescent="0.3"/>
    <row r="1441" hidden="1" x14ac:dyDescent="0.3"/>
    <row r="1442" hidden="1" x14ac:dyDescent="0.3"/>
    <row r="1443" hidden="1" x14ac:dyDescent="0.3"/>
    <row r="1444" hidden="1" x14ac:dyDescent="0.3"/>
    <row r="1445" hidden="1" x14ac:dyDescent="0.3"/>
    <row r="1446" hidden="1" x14ac:dyDescent="0.3"/>
    <row r="1447" hidden="1" x14ac:dyDescent="0.3"/>
    <row r="1448" hidden="1" x14ac:dyDescent="0.3"/>
    <row r="1449" hidden="1" x14ac:dyDescent="0.3"/>
    <row r="1450" hidden="1" x14ac:dyDescent="0.3"/>
    <row r="1451" hidden="1" x14ac:dyDescent="0.3"/>
    <row r="1452" hidden="1" x14ac:dyDescent="0.3"/>
    <row r="1453" hidden="1" x14ac:dyDescent="0.3"/>
    <row r="1454" hidden="1" x14ac:dyDescent="0.3"/>
    <row r="1455" hidden="1" x14ac:dyDescent="0.3"/>
    <row r="1456" hidden="1" x14ac:dyDescent="0.3"/>
    <row r="1457" hidden="1" x14ac:dyDescent="0.3"/>
    <row r="1458" hidden="1" x14ac:dyDescent="0.3"/>
    <row r="1459" hidden="1" x14ac:dyDescent="0.3"/>
    <row r="1460" hidden="1" x14ac:dyDescent="0.3"/>
    <row r="1461" hidden="1" x14ac:dyDescent="0.3"/>
    <row r="1462" hidden="1" x14ac:dyDescent="0.3"/>
    <row r="1463" hidden="1" x14ac:dyDescent="0.3"/>
    <row r="1464" hidden="1" x14ac:dyDescent="0.3"/>
    <row r="1465" hidden="1" x14ac:dyDescent="0.3"/>
    <row r="1466" hidden="1" x14ac:dyDescent="0.3"/>
    <row r="1467" hidden="1" x14ac:dyDescent="0.3"/>
    <row r="1468" hidden="1" x14ac:dyDescent="0.3"/>
    <row r="1469" hidden="1" x14ac:dyDescent="0.3"/>
    <row r="1470" hidden="1" x14ac:dyDescent="0.3"/>
    <row r="1471" hidden="1" x14ac:dyDescent="0.3"/>
    <row r="1472" hidden="1" x14ac:dyDescent="0.3"/>
    <row r="1473" hidden="1" x14ac:dyDescent="0.3"/>
    <row r="1474" hidden="1" x14ac:dyDescent="0.3"/>
    <row r="1475" hidden="1" x14ac:dyDescent="0.3"/>
    <row r="1476" hidden="1" x14ac:dyDescent="0.3"/>
    <row r="1477" hidden="1" x14ac:dyDescent="0.3"/>
    <row r="1478" hidden="1" x14ac:dyDescent="0.3"/>
    <row r="1479" hidden="1" x14ac:dyDescent="0.3"/>
    <row r="1480" hidden="1" x14ac:dyDescent="0.3"/>
    <row r="1481" hidden="1" x14ac:dyDescent="0.3"/>
    <row r="1482" hidden="1" x14ac:dyDescent="0.3"/>
    <row r="1483" hidden="1" x14ac:dyDescent="0.3"/>
    <row r="1484" hidden="1" x14ac:dyDescent="0.3"/>
    <row r="1485" hidden="1" x14ac:dyDescent="0.3"/>
    <row r="1486" hidden="1" x14ac:dyDescent="0.3"/>
    <row r="1487" hidden="1" x14ac:dyDescent="0.3"/>
    <row r="1488" hidden="1" x14ac:dyDescent="0.3"/>
    <row r="1489" hidden="1" x14ac:dyDescent="0.3"/>
    <row r="1490" hidden="1" x14ac:dyDescent="0.3"/>
    <row r="1491" hidden="1" x14ac:dyDescent="0.3"/>
    <row r="1492" hidden="1" x14ac:dyDescent="0.3"/>
    <row r="1493" hidden="1" x14ac:dyDescent="0.3"/>
    <row r="1494" hidden="1" x14ac:dyDescent="0.3"/>
    <row r="1495" hidden="1" x14ac:dyDescent="0.3"/>
    <row r="1496" hidden="1" x14ac:dyDescent="0.3"/>
    <row r="1497" hidden="1" x14ac:dyDescent="0.3"/>
    <row r="1498" hidden="1" x14ac:dyDescent="0.3"/>
    <row r="1499" hidden="1" x14ac:dyDescent="0.3"/>
    <row r="1500" hidden="1" x14ac:dyDescent="0.3"/>
    <row r="1501" hidden="1" x14ac:dyDescent="0.3"/>
    <row r="1502" hidden="1" x14ac:dyDescent="0.3"/>
    <row r="1503" hidden="1" x14ac:dyDescent="0.3"/>
    <row r="1504" hidden="1" x14ac:dyDescent="0.3"/>
    <row r="1505" hidden="1" x14ac:dyDescent="0.3"/>
    <row r="1506" hidden="1" x14ac:dyDescent="0.3"/>
    <row r="1507" hidden="1" x14ac:dyDescent="0.3"/>
    <row r="1508" hidden="1" x14ac:dyDescent="0.3"/>
    <row r="1509" hidden="1" x14ac:dyDescent="0.3"/>
    <row r="1510" hidden="1" x14ac:dyDescent="0.3"/>
    <row r="1511" hidden="1" x14ac:dyDescent="0.3"/>
    <row r="1512" hidden="1" x14ac:dyDescent="0.3"/>
    <row r="1513" hidden="1" x14ac:dyDescent="0.3"/>
    <row r="1514" hidden="1" x14ac:dyDescent="0.3"/>
    <row r="1515" hidden="1" x14ac:dyDescent="0.3"/>
    <row r="1516" hidden="1" x14ac:dyDescent="0.3"/>
    <row r="1517" hidden="1" x14ac:dyDescent="0.3"/>
    <row r="1518" hidden="1" x14ac:dyDescent="0.3"/>
    <row r="1519" hidden="1" x14ac:dyDescent="0.3"/>
    <row r="1520" hidden="1" x14ac:dyDescent="0.3"/>
    <row r="1521" hidden="1" x14ac:dyDescent="0.3"/>
    <row r="1522" hidden="1" x14ac:dyDescent="0.3"/>
    <row r="1523" hidden="1" x14ac:dyDescent="0.3"/>
    <row r="1524" hidden="1" x14ac:dyDescent="0.3"/>
    <row r="1525" hidden="1" x14ac:dyDescent="0.3"/>
    <row r="1526" hidden="1" x14ac:dyDescent="0.3"/>
    <row r="1527" hidden="1" x14ac:dyDescent="0.3"/>
    <row r="1528" hidden="1" x14ac:dyDescent="0.3"/>
    <row r="1529" hidden="1" x14ac:dyDescent="0.3"/>
    <row r="1530" hidden="1" x14ac:dyDescent="0.3"/>
    <row r="1531" hidden="1" x14ac:dyDescent="0.3"/>
    <row r="1532" hidden="1" x14ac:dyDescent="0.3"/>
    <row r="1533" hidden="1" x14ac:dyDescent="0.3"/>
    <row r="1534" hidden="1" x14ac:dyDescent="0.3"/>
    <row r="1535" hidden="1" x14ac:dyDescent="0.3"/>
    <row r="1536" hidden="1" x14ac:dyDescent="0.3"/>
    <row r="1537" hidden="1" x14ac:dyDescent="0.3"/>
    <row r="1538" hidden="1" x14ac:dyDescent="0.3"/>
    <row r="1539" hidden="1" x14ac:dyDescent="0.3"/>
    <row r="1540" hidden="1" x14ac:dyDescent="0.3"/>
    <row r="1541" hidden="1" x14ac:dyDescent="0.3"/>
    <row r="1542" hidden="1" x14ac:dyDescent="0.3"/>
    <row r="1543" hidden="1" x14ac:dyDescent="0.3"/>
    <row r="1544" hidden="1" x14ac:dyDescent="0.3"/>
    <row r="1545" hidden="1" x14ac:dyDescent="0.3"/>
    <row r="1546" hidden="1" x14ac:dyDescent="0.3"/>
    <row r="1547" hidden="1" x14ac:dyDescent="0.3"/>
    <row r="1548" hidden="1" x14ac:dyDescent="0.3"/>
    <row r="1549" hidden="1" x14ac:dyDescent="0.3"/>
    <row r="1550" hidden="1" x14ac:dyDescent="0.3"/>
    <row r="1551" hidden="1" x14ac:dyDescent="0.3"/>
    <row r="1552" hidden="1" x14ac:dyDescent="0.3"/>
    <row r="1553" hidden="1" x14ac:dyDescent="0.3"/>
    <row r="1554" hidden="1" x14ac:dyDescent="0.3"/>
    <row r="1555" hidden="1" x14ac:dyDescent="0.3"/>
    <row r="1556" hidden="1" x14ac:dyDescent="0.3"/>
    <row r="1557" hidden="1" x14ac:dyDescent="0.3"/>
    <row r="1558" hidden="1" x14ac:dyDescent="0.3"/>
    <row r="1559" hidden="1" x14ac:dyDescent="0.3"/>
    <row r="1560" hidden="1" x14ac:dyDescent="0.3"/>
    <row r="1561" hidden="1" x14ac:dyDescent="0.3"/>
    <row r="1562" hidden="1" x14ac:dyDescent="0.3"/>
    <row r="1563" hidden="1" x14ac:dyDescent="0.3"/>
    <row r="1564" hidden="1" x14ac:dyDescent="0.3"/>
    <row r="1565" hidden="1" x14ac:dyDescent="0.3"/>
    <row r="1566" hidden="1" x14ac:dyDescent="0.3"/>
    <row r="1567" hidden="1" x14ac:dyDescent="0.3"/>
    <row r="1568" hidden="1" x14ac:dyDescent="0.3"/>
    <row r="1569" hidden="1" x14ac:dyDescent="0.3"/>
    <row r="1570" hidden="1" x14ac:dyDescent="0.3"/>
    <row r="1571" hidden="1" x14ac:dyDescent="0.3"/>
    <row r="1572" hidden="1" x14ac:dyDescent="0.3"/>
    <row r="1573" hidden="1" x14ac:dyDescent="0.3"/>
    <row r="1574" hidden="1" x14ac:dyDescent="0.3"/>
    <row r="1575" hidden="1" x14ac:dyDescent="0.3"/>
    <row r="1576" hidden="1" x14ac:dyDescent="0.3"/>
    <row r="1577" hidden="1" x14ac:dyDescent="0.3"/>
    <row r="1578" hidden="1" x14ac:dyDescent="0.3"/>
    <row r="1579" hidden="1" x14ac:dyDescent="0.3"/>
    <row r="1580" hidden="1" x14ac:dyDescent="0.3"/>
    <row r="1581" hidden="1" x14ac:dyDescent="0.3"/>
    <row r="1582" hidden="1" x14ac:dyDescent="0.3"/>
    <row r="1583" hidden="1" x14ac:dyDescent="0.3"/>
    <row r="1584" hidden="1" x14ac:dyDescent="0.3"/>
    <row r="1585" hidden="1" x14ac:dyDescent="0.3"/>
    <row r="1586" hidden="1" x14ac:dyDescent="0.3"/>
    <row r="1587" hidden="1" x14ac:dyDescent="0.3"/>
    <row r="1588" hidden="1" x14ac:dyDescent="0.3"/>
    <row r="1589" hidden="1" x14ac:dyDescent="0.3"/>
    <row r="1590" hidden="1" x14ac:dyDescent="0.3"/>
    <row r="1591" hidden="1" x14ac:dyDescent="0.3"/>
    <row r="1592" hidden="1" x14ac:dyDescent="0.3"/>
    <row r="1593" hidden="1" x14ac:dyDescent="0.3"/>
    <row r="1594" hidden="1" x14ac:dyDescent="0.3"/>
    <row r="1595" hidden="1" x14ac:dyDescent="0.3"/>
    <row r="1596" hidden="1" x14ac:dyDescent="0.3"/>
    <row r="1597" hidden="1" x14ac:dyDescent="0.3"/>
    <row r="1598" hidden="1" x14ac:dyDescent="0.3"/>
    <row r="1599" hidden="1" x14ac:dyDescent="0.3"/>
    <row r="1600" hidden="1" x14ac:dyDescent="0.3"/>
    <row r="1601" hidden="1" x14ac:dyDescent="0.3"/>
    <row r="1602" hidden="1" x14ac:dyDescent="0.3"/>
    <row r="1603" hidden="1" x14ac:dyDescent="0.3"/>
    <row r="1604" hidden="1" x14ac:dyDescent="0.3"/>
    <row r="1605" hidden="1" x14ac:dyDescent="0.3"/>
    <row r="1606" hidden="1" x14ac:dyDescent="0.3"/>
    <row r="1607" hidden="1" x14ac:dyDescent="0.3"/>
    <row r="1608" hidden="1" x14ac:dyDescent="0.3"/>
    <row r="1609" hidden="1" x14ac:dyDescent="0.3"/>
    <row r="1610" hidden="1" x14ac:dyDescent="0.3"/>
    <row r="1611" hidden="1" x14ac:dyDescent="0.3"/>
    <row r="1612" hidden="1" x14ac:dyDescent="0.3"/>
    <row r="1613" hidden="1" x14ac:dyDescent="0.3"/>
    <row r="1614" hidden="1" x14ac:dyDescent="0.3"/>
    <row r="1615" hidden="1" x14ac:dyDescent="0.3"/>
    <row r="1616" hidden="1" x14ac:dyDescent="0.3"/>
    <row r="1617" hidden="1" x14ac:dyDescent="0.3"/>
    <row r="1618" hidden="1" x14ac:dyDescent="0.3"/>
    <row r="1619" hidden="1" x14ac:dyDescent="0.3"/>
    <row r="1620" hidden="1" x14ac:dyDescent="0.3"/>
    <row r="1621" hidden="1" x14ac:dyDescent="0.3"/>
    <row r="1622" hidden="1" x14ac:dyDescent="0.3"/>
    <row r="1623" hidden="1" x14ac:dyDescent="0.3"/>
    <row r="1624" hidden="1" x14ac:dyDescent="0.3"/>
    <row r="1625" hidden="1" x14ac:dyDescent="0.3"/>
    <row r="1626" hidden="1" x14ac:dyDescent="0.3"/>
    <row r="1627" hidden="1" x14ac:dyDescent="0.3"/>
    <row r="1628" hidden="1" x14ac:dyDescent="0.3"/>
    <row r="1629" hidden="1" x14ac:dyDescent="0.3"/>
    <row r="1630" hidden="1" x14ac:dyDescent="0.3"/>
    <row r="1631" hidden="1" x14ac:dyDescent="0.3"/>
    <row r="1632" hidden="1" x14ac:dyDescent="0.3"/>
    <row r="1633" hidden="1" x14ac:dyDescent="0.3"/>
    <row r="1634" hidden="1" x14ac:dyDescent="0.3"/>
    <row r="1635" hidden="1" x14ac:dyDescent="0.3"/>
    <row r="1636" hidden="1" x14ac:dyDescent="0.3"/>
    <row r="1637" hidden="1" x14ac:dyDescent="0.3"/>
    <row r="1638" hidden="1" x14ac:dyDescent="0.3"/>
    <row r="1639" hidden="1" x14ac:dyDescent="0.3"/>
    <row r="1640" hidden="1" x14ac:dyDescent="0.3"/>
    <row r="1641" hidden="1" x14ac:dyDescent="0.3"/>
    <row r="1642" hidden="1" x14ac:dyDescent="0.3"/>
    <row r="1643" hidden="1" x14ac:dyDescent="0.3"/>
    <row r="1644" hidden="1" x14ac:dyDescent="0.3"/>
    <row r="1645" hidden="1" x14ac:dyDescent="0.3"/>
    <row r="1646" hidden="1" x14ac:dyDescent="0.3"/>
    <row r="1647" hidden="1" x14ac:dyDescent="0.3"/>
    <row r="1648" hidden="1" x14ac:dyDescent="0.3"/>
    <row r="1649" hidden="1" x14ac:dyDescent="0.3"/>
    <row r="1650" hidden="1" x14ac:dyDescent="0.3"/>
    <row r="1651" hidden="1" x14ac:dyDescent="0.3"/>
    <row r="1652" hidden="1" x14ac:dyDescent="0.3"/>
    <row r="1653" hidden="1" x14ac:dyDescent="0.3"/>
    <row r="1654" hidden="1" x14ac:dyDescent="0.3"/>
    <row r="1655" hidden="1" x14ac:dyDescent="0.3"/>
    <row r="1656" hidden="1" x14ac:dyDescent="0.3"/>
    <row r="1657" hidden="1" x14ac:dyDescent="0.3"/>
    <row r="1658" hidden="1" x14ac:dyDescent="0.3"/>
    <row r="1659" hidden="1" x14ac:dyDescent="0.3"/>
    <row r="1660" hidden="1" x14ac:dyDescent="0.3"/>
    <row r="1661" hidden="1" x14ac:dyDescent="0.3"/>
    <row r="1662" hidden="1" x14ac:dyDescent="0.3"/>
    <row r="1663" hidden="1" x14ac:dyDescent="0.3"/>
    <row r="1664" hidden="1" x14ac:dyDescent="0.3"/>
    <row r="1665" hidden="1" x14ac:dyDescent="0.3"/>
    <row r="1666" hidden="1" x14ac:dyDescent="0.3"/>
    <row r="1667" hidden="1" x14ac:dyDescent="0.3"/>
    <row r="1668" hidden="1" x14ac:dyDescent="0.3"/>
    <row r="1669" hidden="1" x14ac:dyDescent="0.3"/>
    <row r="1670" hidden="1" x14ac:dyDescent="0.3"/>
    <row r="1671" hidden="1" x14ac:dyDescent="0.3"/>
    <row r="1672" hidden="1" x14ac:dyDescent="0.3"/>
    <row r="1673" hidden="1" x14ac:dyDescent="0.3"/>
    <row r="1674" hidden="1" x14ac:dyDescent="0.3"/>
    <row r="1675" hidden="1" x14ac:dyDescent="0.3"/>
    <row r="1676" hidden="1" x14ac:dyDescent="0.3"/>
    <row r="1677" hidden="1" x14ac:dyDescent="0.3"/>
    <row r="1678" hidden="1" x14ac:dyDescent="0.3"/>
    <row r="1679" hidden="1" x14ac:dyDescent="0.3"/>
    <row r="1680" hidden="1" x14ac:dyDescent="0.3"/>
    <row r="1681" hidden="1" x14ac:dyDescent="0.3"/>
    <row r="1682" hidden="1" x14ac:dyDescent="0.3"/>
    <row r="1683" hidden="1" x14ac:dyDescent="0.3"/>
    <row r="1684" hidden="1" x14ac:dyDescent="0.3"/>
    <row r="1685" hidden="1" x14ac:dyDescent="0.3"/>
    <row r="1686" hidden="1" x14ac:dyDescent="0.3"/>
    <row r="1687" hidden="1" x14ac:dyDescent="0.3"/>
    <row r="1688" hidden="1" x14ac:dyDescent="0.3"/>
    <row r="1689" hidden="1" x14ac:dyDescent="0.3"/>
    <row r="1690" hidden="1" x14ac:dyDescent="0.3"/>
    <row r="1691" hidden="1" x14ac:dyDescent="0.3"/>
    <row r="1692" hidden="1" x14ac:dyDescent="0.3"/>
    <row r="1693" hidden="1" x14ac:dyDescent="0.3"/>
    <row r="1694" hidden="1" x14ac:dyDescent="0.3"/>
    <row r="1695" hidden="1" x14ac:dyDescent="0.3"/>
    <row r="1696" hidden="1" x14ac:dyDescent="0.3"/>
    <row r="1697" hidden="1" x14ac:dyDescent="0.3"/>
    <row r="1698" hidden="1" x14ac:dyDescent="0.3"/>
    <row r="1699" hidden="1" x14ac:dyDescent="0.3"/>
    <row r="1700" hidden="1" x14ac:dyDescent="0.3"/>
    <row r="1701" hidden="1" x14ac:dyDescent="0.3"/>
    <row r="1702" hidden="1" x14ac:dyDescent="0.3"/>
    <row r="1703" hidden="1" x14ac:dyDescent="0.3"/>
    <row r="1704" hidden="1" x14ac:dyDescent="0.3"/>
    <row r="1705" hidden="1" x14ac:dyDescent="0.3"/>
    <row r="1706" hidden="1" x14ac:dyDescent="0.3"/>
    <row r="1707" hidden="1" x14ac:dyDescent="0.3"/>
    <row r="1708" hidden="1" x14ac:dyDescent="0.3"/>
    <row r="1709" hidden="1" x14ac:dyDescent="0.3"/>
    <row r="1710" hidden="1" x14ac:dyDescent="0.3"/>
    <row r="1711" hidden="1" x14ac:dyDescent="0.3"/>
    <row r="1712" hidden="1" x14ac:dyDescent="0.3"/>
    <row r="1713" hidden="1" x14ac:dyDescent="0.3"/>
    <row r="1714" hidden="1" x14ac:dyDescent="0.3"/>
    <row r="1715" hidden="1" x14ac:dyDescent="0.3"/>
    <row r="1716" hidden="1" x14ac:dyDescent="0.3"/>
    <row r="1717" hidden="1" x14ac:dyDescent="0.3"/>
    <row r="1718" hidden="1" x14ac:dyDescent="0.3"/>
    <row r="1719" hidden="1" x14ac:dyDescent="0.3"/>
    <row r="1720" hidden="1" x14ac:dyDescent="0.3"/>
    <row r="1721" hidden="1" x14ac:dyDescent="0.3"/>
    <row r="1722" hidden="1" x14ac:dyDescent="0.3"/>
    <row r="1723" hidden="1" x14ac:dyDescent="0.3"/>
    <row r="1724" hidden="1" x14ac:dyDescent="0.3"/>
    <row r="1725" hidden="1" x14ac:dyDescent="0.3"/>
    <row r="1726" hidden="1" x14ac:dyDescent="0.3"/>
    <row r="1727" hidden="1" x14ac:dyDescent="0.3"/>
    <row r="1728" hidden="1" x14ac:dyDescent="0.3"/>
    <row r="1729" hidden="1" x14ac:dyDescent="0.3"/>
    <row r="1730" hidden="1" x14ac:dyDescent="0.3"/>
    <row r="1731" hidden="1" x14ac:dyDescent="0.3"/>
    <row r="1732" hidden="1" x14ac:dyDescent="0.3"/>
    <row r="1733" hidden="1" x14ac:dyDescent="0.3"/>
    <row r="1734" hidden="1" x14ac:dyDescent="0.3"/>
    <row r="1735" hidden="1" x14ac:dyDescent="0.3"/>
    <row r="1736" hidden="1" x14ac:dyDescent="0.3"/>
    <row r="1737" hidden="1" x14ac:dyDescent="0.3"/>
    <row r="1738" hidden="1" x14ac:dyDescent="0.3"/>
    <row r="1739" hidden="1" x14ac:dyDescent="0.3"/>
    <row r="1740" hidden="1" x14ac:dyDescent="0.3"/>
    <row r="1741" hidden="1" x14ac:dyDescent="0.3"/>
    <row r="1742" hidden="1" x14ac:dyDescent="0.3"/>
    <row r="1743" hidden="1" x14ac:dyDescent="0.3"/>
    <row r="1744" hidden="1" x14ac:dyDescent="0.3"/>
    <row r="1745" hidden="1" x14ac:dyDescent="0.3"/>
    <row r="1746" hidden="1" x14ac:dyDescent="0.3"/>
    <row r="1747" hidden="1" x14ac:dyDescent="0.3"/>
    <row r="1748" hidden="1" x14ac:dyDescent="0.3"/>
    <row r="1749" hidden="1" x14ac:dyDescent="0.3"/>
    <row r="1750" hidden="1" x14ac:dyDescent="0.3"/>
    <row r="1751" hidden="1" x14ac:dyDescent="0.3"/>
    <row r="1752" hidden="1" x14ac:dyDescent="0.3"/>
    <row r="1753" hidden="1" x14ac:dyDescent="0.3"/>
    <row r="1754" hidden="1" x14ac:dyDescent="0.3"/>
    <row r="1755" hidden="1" x14ac:dyDescent="0.3"/>
    <row r="1756" hidden="1" x14ac:dyDescent="0.3"/>
    <row r="1757" hidden="1" x14ac:dyDescent="0.3"/>
    <row r="1758" hidden="1" x14ac:dyDescent="0.3"/>
    <row r="1759" hidden="1" x14ac:dyDescent="0.3"/>
    <row r="1760" hidden="1" x14ac:dyDescent="0.3"/>
    <row r="1761" hidden="1" x14ac:dyDescent="0.3"/>
    <row r="1762" hidden="1" x14ac:dyDescent="0.3"/>
    <row r="1763" hidden="1" x14ac:dyDescent="0.3"/>
    <row r="1764" hidden="1" x14ac:dyDescent="0.3"/>
    <row r="1765" hidden="1" x14ac:dyDescent="0.3"/>
    <row r="1766" hidden="1" x14ac:dyDescent="0.3"/>
    <row r="1767" hidden="1" x14ac:dyDescent="0.3"/>
    <row r="1768" hidden="1" x14ac:dyDescent="0.3"/>
    <row r="1769" hidden="1" x14ac:dyDescent="0.3"/>
    <row r="1770" hidden="1" x14ac:dyDescent="0.3"/>
    <row r="1771" hidden="1" x14ac:dyDescent="0.3"/>
    <row r="1772" hidden="1" x14ac:dyDescent="0.3"/>
    <row r="1773" hidden="1" x14ac:dyDescent="0.3"/>
    <row r="1774" hidden="1" x14ac:dyDescent="0.3"/>
    <row r="1775" hidden="1" x14ac:dyDescent="0.3"/>
    <row r="1776" hidden="1" x14ac:dyDescent="0.3"/>
    <row r="1777" hidden="1" x14ac:dyDescent="0.3"/>
    <row r="1778" hidden="1" x14ac:dyDescent="0.3"/>
    <row r="1779" hidden="1" x14ac:dyDescent="0.3"/>
    <row r="1780" hidden="1" x14ac:dyDescent="0.3"/>
    <row r="1781" hidden="1" x14ac:dyDescent="0.3"/>
    <row r="1782" hidden="1" x14ac:dyDescent="0.3"/>
    <row r="1783" hidden="1" x14ac:dyDescent="0.3"/>
    <row r="1784" hidden="1" x14ac:dyDescent="0.3"/>
    <row r="1785" hidden="1" x14ac:dyDescent="0.3"/>
    <row r="1786" hidden="1" x14ac:dyDescent="0.3"/>
    <row r="1787" hidden="1" x14ac:dyDescent="0.3"/>
    <row r="1788" hidden="1" x14ac:dyDescent="0.3"/>
    <row r="1789" hidden="1" x14ac:dyDescent="0.3"/>
    <row r="1790" hidden="1" x14ac:dyDescent="0.3"/>
    <row r="1791" hidden="1" x14ac:dyDescent="0.3"/>
    <row r="1792" hidden="1" x14ac:dyDescent="0.3"/>
    <row r="1793" hidden="1" x14ac:dyDescent="0.3"/>
    <row r="1794" hidden="1" x14ac:dyDescent="0.3"/>
    <row r="1795" hidden="1" x14ac:dyDescent="0.3"/>
    <row r="1796" hidden="1" x14ac:dyDescent="0.3"/>
    <row r="1797" hidden="1" x14ac:dyDescent="0.3"/>
    <row r="1798" hidden="1" x14ac:dyDescent="0.3"/>
    <row r="1799" hidden="1" x14ac:dyDescent="0.3"/>
    <row r="1800" hidden="1" x14ac:dyDescent="0.3"/>
    <row r="1801" hidden="1" x14ac:dyDescent="0.3"/>
    <row r="1802" hidden="1" x14ac:dyDescent="0.3"/>
    <row r="1803" hidden="1" x14ac:dyDescent="0.3"/>
    <row r="1804" hidden="1" x14ac:dyDescent="0.3"/>
    <row r="1805" hidden="1" x14ac:dyDescent="0.3"/>
    <row r="1806" hidden="1" x14ac:dyDescent="0.3"/>
    <row r="1807" hidden="1" x14ac:dyDescent="0.3"/>
    <row r="1808" hidden="1" x14ac:dyDescent="0.3"/>
    <row r="1809" hidden="1" x14ac:dyDescent="0.3"/>
    <row r="1810" hidden="1" x14ac:dyDescent="0.3"/>
    <row r="1811" hidden="1" x14ac:dyDescent="0.3"/>
    <row r="1812" hidden="1" x14ac:dyDescent="0.3"/>
    <row r="1813" hidden="1" x14ac:dyDescent="0.3"/>
    <row r="1814" hidden="1" x14ac:dyDescent="0.3"/>
    <row r="1815" hidden="1" x14ac:dyDescent="0.3"/>
    <row r="1816" hidden="1" x14ac:dyDescent="0.3"/>
    <row r="1817" hidden="1" x14ac:dyDescent="0.3"/>
    <row r="1818" hidden="1" x14ac:dyDescent="0.3"/>
    <row r="1819" hidden="1" x14ac:dyDescent="0.3"/>
    <row r="1820" hidden="1" x14ac:dyDescent="0.3"/>
    <row r="1821" hidden="1" x14ac:dyDescent="0.3"/>
    <row r="1822" hidden="1" x14ac:dyDescent="0.3"/>
    <row r="1823" hidden="1" x14ac:dyDescent="0.3"/>
    <row r="1824" hidden="1" x14ac:dyDescent="0.3"/>
    <row r="1825" hidden="1" x14ac:dyDescent="0.3"/>
    <row r="1826" hidden="1" x14ac:dyDescent="0.3"/>
    <row r="1827" hidden="1" x14ac:dyDescent="0.3"/>
    <row r="1828" hidden="1" x14ac:dyDescent="0.3"/>
    <row r="1829" hidden="1" x14ac:dyDescent="0.3"/>
    <row r="1830" hidden="1" x14ac:dyDescent="0.3"/>
    <row r="1831" hidden="1" x14ac:dyDescent="0.3"/>
    <row r="1832" hidden="1" x14ac:dyDescent="0.3"/>
    <row r="1833" hidden="1" x14ac:dyDescent="0.3"/>
    <row r="1834" hidden="1" x14ac:dyDescent="0.3"/>
    <row r="1835" hidden="1" x14ac:dyDescent="0.3"/>
    <row r="1836" hidden="1" x14ac:dyDescent="0.3"/>
    <row r="1837" hidden="1" x14ac:dyDescent="0.3"/>
    <row r="1838" hidden="1" x14ac:dyDescent="0.3"/>
    <row r="1839" hidden="1" x14ac:dyDescent="0.3"/>
    <row r="1840" hidden="1" x14ac:dyDescent="0.3"/>
    <row r="1841" hidden="1" x14ac:dyDescent="0.3"/>
    <row r="1842" hidden="1" x14ac:dyDescent="0.3"/>
    <row r="1843" hidden="1" x14ac:dyDescent="0.3"/>
    <row r="1844" hidden="1" x14ac:dyDescent="0.3"/>
    <row r="1845" hidden="1" x14ac:dyDescent="0.3"/>
    <row r="1846" hidden="1" x14ac:dyDescent="0.3"/>
    <row r="1847" hidden="1" x14ac:dyDescent="0.3"/>
    <row r="1848" hidden="1" x14ac:dyDescent="0.3"/>
    <row r="1849" hidden="1" x14ac:dyDescent="0.3"/>
    <row r="1850" hidden="1" x14ac:dyDescent="0.3"/>
    <row r="1851" hidden="1" x14ac:dyDescent="0.3"/>
    <row r="1852" hidden="1" x14ac:dyDescent="0.3"/>
    <row r="1853" hidden="1" x14ac:dyDescent="0.3"/>
    <row r="1854" hidden="1" x14ac:dyDescent="0.3"/>
    <row r="1855" hidden="1" x14ac:dyDescent="0.3"/>
    <row r="1856" hidden="1" x14ac:dyDescent="0.3"/>
    <row r="1857" hidden="1" x14ac:dyDescent="0.3"/>
    <row r="1858" hidden="1" x14ac:dyDescent="0.3"/>
    <row r="1859" hidden="1" x14ac:dyDescent="0.3"/>
    <row r="1860" hidden="1" x14ac:dyDescent="0.3"/>
    <row r="1861" hidden="1" x14ac:dyDescent="0.3"/>
    <row r="1862" hidden="1" x14ac:dyDescent="0.3"/>
    <row r="1863" hidden="1" x14ac:dyDescent="0.3"/>
    <row r="1864" hidden="1" x14ac:dyDescent="0.3"/>
    <row r="1865" hidden="1" x14ac:dyDescent="0.3"/>
    <row r="1866" hidden="1" x14ac:dyDescent="0.3"/>
    <row r="1867" hidden="1" x14ac:dyDescent="0.3"/>
    <row r="1868" hidden="1" x14ac:dyDescent="0.3"/>
    <row r="1869" hidden="1" x14ac:dyDescent="0.3"/>
    <row r="1870" hidden="1" x14ac:dyDescent="0.3"/>
    <row r="1871" hidden="1" x14ac:dyDescent="0.3"/>
    <row r="1872" hidden="1" x14ac:dyDescent="0.3"/>
    <row r="1873" hidden="1" x14ac:dyDescent="0.3"/>
    <row r="1874" hidden="1" x14ac:dyDescent="0.3"/>
    <row r="1875" hidden="1" x14ac:dyDescent="0.3"/>
    <row r="1876" hidden="1" x14ac:dyDescent="0.3"/>
    <row r="1877" hidden="1" x14ac:dyDescent="0.3"/>
    <row r="1878" hidden="1" x14ac:dyDescent="0.3"/>
    <row r="1879" hidden="1" x14ac:dyDescent="0.3"/>
    <row r="1880" hidden="1" x14ac:dyDescent="0.3"/>
    <row r="1881" hidden="1" x14ac:dyDescent="0.3"/>
    <row r="1882" hidden="1" x14ac:dyDescent="0.3"/>
    <row r="1883" hidden="1" x14ac:dyDescent="0.3"/>
    <row r="1884" hidden="1" x14ac:dyDescent="0.3"/>
    <row r="1885" hidden="1" x14ac:dyDescent="0.3"/>
    <row r="1886" hidden="1" x14ac:dyDescent="0.3"/>
    <row r="1887" hidden="1" x14ac:dyDescent="0.3"/>
    <row r="1888" hidden="1" x14ac:dyDescent="0.3"/>
    <row r="1889" hidden="1" x14ac:dyDescent="0.3"/>
    <row r="1890" hidden="1" x14ac:dyDescent="0.3"/>
    <row r="1891" hidden="1" x14ac:dyDescent="0.3"/>
    <row r="1892" hidden="1" x14ac:dyDescent="0.3"/>
    <row r="1893" hidden="1" x14ac:dyDescent="0.3"/>
    <row r="1894" hidden="1" x14ac:dyDescent="0.3"/>
    <row r="1895" hidden="1" x14ac:dyDescent="0.3"/>
    <row r="1896" hidden="1" x14ac:dyDescent="0.3"/>
    <row r="1897" hidden="1" x14ac:dyDescent="0.3"/>
    <row r="1898" hidden="1" x14ac:dyDescent="0.3"/>
    <row r="1899" hidden="1" x14ac:dyDescent="0.3"/>
    <row r="1900" hidden="1" x14ac:dyDescent="0.3"/>
    <row r="1901" hidden="1" x14ac:dyDescent="0.3"/>
    <row r="1902" hidden="1" x14ac:dyDescent="0.3"/>
    <row r="1903" hidden="1" x14ac:dyDescent="0.3"/>
    <row r="1904" hidden="1" x14ac:dyDescent="0.3"/>
    <row r="1905" hidden="1" x14ac:dyDescent="0.3"/>
    <row r="1906" hidden="1" x14ac:dyDescent="0.3"/>
    <row r="1907" hidden="1" x14ac:dyDescent="0.3"/>
    <row r="1908" hidden="1" x14ac:dyDescent="0.3"/>
    <row r="1909" hidden="1" x14ac:dyDescent="0.3"/>
    <row r="1910" hidden="1" x14ac:dyDescent="0.3"/>
    <row r="1911" hidden="1" x14ac:dyDescent="0.3"/>
    <row r="1912" hidden="1" x14ac:dyDescent="0.3"/>
    <row r="1913" hidden="1" x14ac:dyDescent="0.3"/>
    <row r="1914" hidden="1" x14ac:dyDescent="0.3"/>
    <row r="1915" hidden="1" x14ac:dyDescent="0.3"/>
    <row r="1916" hidden="1" x14ac:dyDescent="0.3"/>
    <row r="1917" hidden="1" x14ac:dyDescent="0.3"/>
    <row r="1918" hidden="1" x14ac:dyDescent="0.3"/>
    <row r="1919" hidden="1" x14ac:dyDescent="0.3"/>
    <row r="1920" hidden="1" x14ac:dyDescent="0.3"/>
    <row r="1921" hidden="1" x14ac:dyDescent="0.3"/>
    <row r="1922" hidden="1" x14ac:dyDescent="0.3"/>
    <row r="1923" hidden="1" x14ac:dyDescent="0.3"/>
    <row r="1924" hidden="1" x14ac:dyDescent="0.3"/>
    <row r="1925" hidden="1" x14ac:dyDescent="0.3"/>
    <row r="1926" hidden="1" x14ac:dyDescent="0.3"/>
    <row r="1927" hidden="1" x14ac:dyDescent="0.3"/>
    <row r="1928" hidden="1" x14ac:dyDescent="0.3"/>
    <row r="1929" hidden="1" x14ac:dyDescent="0.3"/>
    <row r="1930" hidden="1" x14ac:dyDescent="0.3"/>
    <row r="1931" hidden="1" x14ac:dyDescent="0.3"/>
    <row r="1932" hidden="1" x14ac:dyDescent="0.3"/>
    <row r="1933" hidden="1" x14ac:dyDescent="0.3"/>
    <row r="1934" hidden="1" x14ac:dyDescent="0.3"/>
    <row r="1935" hidden="1" x14ac:dyDescent="0.3"/>
    <row r="1936" hidden="1" x14ac:dyDescent="0.3"/>
    <row r="1937" hidden="1" x14ac:dyDescent="0.3"/>
    <row r="1938" hidden="1" x14ac:dyDescent="0.3"/>
    <row r="1939" hidden="1" x14ac:dyDescent="0.3"/>
    <row r="1940" hidden="1" x14ac:dyDescent="0.3"/>
    <row r="1941" hidden="1" x14ac:dyDescent="0.3"/>
    <row r="1942" hidden="1" x14ac:dyDescent="0.3"/>
    <row r="1943" hidden="1" x14ac:dyDescent="0.3"/>
    <row r="1944" hidden="1" x14ac:dyDescent="0.3"/>
    <row r="1945" hidden="1" x14ac:dyDescent="0.3"/>
    <row r="1946" hidden="1" x14ac:dyDescent="0.3"/>
    <row r="1947" hidden="1" x14ac:dyDescent="0.3"/>
    <row r="1948" hidden="1" x14ac:dyDescent="0.3"/>
    <row r="1949" hidden="1" x14ac:dyDescent="0.3"/>
    <row r="1950" hidden="1" x14ac:dyDescent="0.3"/>
    <row r="1951" hidden="1" x14ac:dyDescent="0.3"/>
    <row r="1952" hidden="1" x14ac:dyDescent="0.3"/>
    <row r="1953" hidden="1" x14ac:dyDescent="0.3"/>
    <row r="1954" hidden="1" x14ac:dyDescent="0.3"/>
    <row r="1955" hidden="1" x14ac:dyDescent="0.3"/>
    <row r="1956" hidden="1" x14ac:dyDescent="0.3"/>
    <row r="1957" hidden="1" x14ac:dyDescent="0.3"/>
    <row r="1958" hidden="1" x14ac:dyDescent="0.3"/>
    <row r="1959" hidden="1" x14ac:dyDescent="0.3"/>
    <row r="1960" hidden="1" x14ac:dyDescent="0.3"/>
    <row r="1961" hidden="1" x14ac:dyDescent="0.3"/>
    <row r="1962" hidden="1" x14ac:dyDescent="0.3"/>
    <row r="1963" hidden="1" x14ac:dyDescent="0.3"/>
    <row r="1964" hidden="1" x14ac:dyDescent="0.3"/>
    <row r="1965" hidden="1" x14ac:dyDescent="0.3"/>
    <row r="1966" hidden="1" x14ac:dyDescent="0.3"/>
    <row r="1967" hidden="1" x14ac:dyDescent="0.3"/>
    <row r="1968" hidden="1" x14ac:dyDescent="0.3"/>
    <row r="1969" hidden="1" x14ac:dyDescent="0.3"/>
    <row r="1970" hidden="1" x14ac:dyDescent="0.3"/>
    <row r="1971" hidden="1" x14ac:dyDescent="0.3"/>
    <row r="1972" hidden="1" x14ac:dyDescent="0.3"/>
    <row r="1973" hidden="1" x14ac:dyDescent="0.3"/>
    <row r="1974" hidden="1" x14ac:dyDescent="0.3"/>
    <row r="1975" hidden="1" x14ac:dyDescent="0.3"/>
    <row r="1976" hidden="1" x14ac:dyDescent="0.3"/>
    <row r="1977" hidden="1" x14ac:dyDescent="0.3"/>
    <row r="1978" hidden="1" x14ac:dyDescent="0.3"/>
    <row r="1979" hidden="1" x14ac:dyDescent="0.3"/>
    <row r="1980" hidden="1" x14ac:dyDescent="0.3"/>
    <row r="1981" hidden="1" x14ac:dyDescent="0.3"/>
    <row r="1982" hidden="1" x14ac:dyDescent="0.3"/>
    <row r="1983" hidden="1" x14ac:dyDescent="0.3"/>
    <row r="1984" hidden="1" x14ac:dyDescent="0.3"/>
    <row r="1985" hidden="1" x14ac:dyDescent="0.3"/>
    <row r="1986" hidden="1" x14ac:dyDescent="0.3"/>
    <row r="1987" hidden="1" x14ac:dyDescent="0.3"/>
    <row r="1988" hidden="1" x14ac:dyDescent="0.3"/>
    <row r="1989" hidden="1" x14ac:dyDescent="0.3"/>
    <row r="1990" hidden="1" x14ac:dyDescent="0.3"/>
    <row r="1991" hidden="1" x14ac:dyDescent="0.3"/>
    <row r="1992" hidden="1" x14ac:dyDescent="0.3"/>
    <row r="1993" hidden="1" x14ac:dyDescent="0.3"/>
    <row r="1994" hidden="1" x14ac:dyDescent="0.3"/>
    <row r="1995" hidden="1" x14ac:dyDescent="0.3"/>
    <row r="1996" hidden="1" x14ac:dyDescent="0.3"/>
    <row r="1997" hidden="1" x14ac:dyDescent="0.3"/>
    <row r="1998" hidden="1" x14ac:dyDescent="0.3"/>
    <row r="1999" hidden="1" x14ac:dyDescent="0.3"/>
    <row r="2000" hidden="1" x14ac:dyDescent="0.3"/>
    <row r="2001" hidden="1" x14ac:dyDescent="0.3"/>
    <row r="2002" hidden="1" x14ac:dyDescent="0.3"/>
    <row r="2003" hidden="1" x14ac:dyDescent="0.3"/>
    <row r="2004" hidden="1" x14ac:dyDescent="0.3"/>
    <row r="2005" hidden="1" x14ac:dyDescent="0.3"/>
    <row r="2006" hidden="1" x14ac:dyDescent="0.3"/>
    <row r="2007" hidden="1" x14ac:dyDescent="0.3"/>
    <row r="2008" hidden="1" x14ac:dyDescent="0.3"/>
    <row r="2009" hidden="1" x14ac:dyDescent="0.3"/>
    <row r="2010" hidden="1" x14ac:dyDescent="0.3"/>
    <row r="2011" hidden="1" x14ac:dyDescent="0.3"/>
    <row r="2012" hidden="1" x14ac:dyDescent="0.3"/>
    <row r="2013" hidden="1" x14ac:dyDescent="0.3"/>
    <row r="2014" hidden="1" x14ac:dyDescent="0.3"/>
    <row r="2015" hidden="1" x14ac:dyDescent="0.3"/>
    <row r="2016" hidden="1" x14ac:dyDescent="0.3"/>
    <row r="2017" hidden="1" x14ac:dyDescent="0.3"/>
    <row r="2018" hidden="1" x14ac:dyDescent="0.3"/>
    <row r="2019" hidden="1" x14ac:dyDescent="0.3"/>
    <row r="2020" hidden="1" x14ac:dyDescent="0.3"/>
    <row r="2021" hidden="1" x14ac:dyDescent="0.3"/>
    <row r="2022" hidden="1" x14ac:dyDescent="0.3"/>
    <row r="2023" hidden="1" x14ac:dyDescent="0.3"/>
    <row r="2024" hidden="1" x14ac:dyDescent="0.3"/>
    <row r="2025" hidden="1" x14ac:dyDescent="0.3"/>
    <row r="2026" hidden="1" x14ac:dyDescent="0.3"/>
    <row r="2027" hidden="1" x14ac:dyDescent="0.3"/>
    <row r="2028" hidden="1" x14ac:dyDescent="0.3"/>
    <row r="2029" hidden="1" x14ac:dyDescent="0.3"/>
    <row r="2030" hidden="1" x14ac:dyDescent="0.3"/>
    <row r="2031" hidden="1" x14ac:dyDescent="0.3"/>
    <row r="2032" hidden="1" x14ac:dyDescent="0.3"/>
    <row r="2033" hidden="1" x14ac:dyDescent="0.3"/>
    <row r="2034" hidden="1" x14ac:dyDescent="0.3"/>
    <row r="2035" hidden="1" x14ac:dyDescent="0.3"/>
    <row r="2036" hidden="1" x14ac:dyDescent="0.3"/>
    <row r="2037" hidden="1" x14ac:dyDescent="0.3"/>
    <row r="2038" hidden="1" x14ac:dyDescent="0.3"/>
    <row r="2039" hidden="1" x14ac:dyDescent="0.3"/>
    <row r="2040" hidden="1" x14ac:dyDescent="0.3"/>
    <row r="2041" hidden="1" x14ac:dyDescent="0.3"/>
    <row r="2042" hidden="1" x14ac:dyDescent="0.3"/>
    <row r="2043" hidden="1" x14ac:dyDescent="0.3"/>
    <row r="2044" hidden="1" x14ac:dyDescent="0.3"/>
    <row r="2045" hidden="1" x14ac:dyDescent="0.3"/>
    <row r="2046" hidden="1" x14ac:dyDescent="0.3"/>
    <row r="2047" hidden="1" x14ac:dyDescent="0.3"/>
    <row r="2048" hidden="1" x14ac:dyDescent="0.3"/>
    <row r="2049" hidden="1" x14ac:dyDescent="0.3"/>
    <row r="2050" hidden="1" x14ac:dyDescent="0.3"/>
    <row r="2051" hidden="1" x14ac:dyDescent="0.3"/>
    <row r="2052" hidden="1" x14ac:dyDescent="0.3"/>
    <row r="2053" hidden="1" x14ac:dyDescent="0.3"/>
    <row r="2054" hidden="1" x14ac:dyDescent="0.3"/>
    <row r="2055" hidden="1" x14ac:dyDescent="0.3"/>
    <row r="2056" hidden="1" x14ac:dyDescent="0.3"/>
    <row r="2057" hidden="1" x14ac:dyDescent="0.3"/>
    <row r="2058" hidden="1" x14ac:dyDescent="0.3"/>
    <row r="2059" hidden="1" x14ac:dyDescent="0.3"/>
    <row r="2060" hidden="1" x14ac:dyDescent="0.3"/>
    <row r="2061" hidden="1" x14ac:dyDescent="0.3"/>
    <row r="2062" hidden="1" x14ac:dyDescent="0.3"/>
    <row r="2063" hidden="1" x14ac:dyDescent="0.3"/>
    <row r="2064" hidden="1" x14ac:dyDescent="0.3"/>
    <row r="2065" hidden="1" x14ac:dyDescent="0.3"/>
    <row r="2066" hidden="1" x14ac:dyDescent="0.3"/>
    <row r="2067" hidden="1" x14ac:dyDescent="0.3"/>
    <row r="2068" hidden="1" x14ac:dyDescent="0.3"/>
    <row r="2069" hidden="1" x14ac:dyDescent="0.3"/>
    <row r="2070" hidden="1" x14ac:dyDescent="0.3"/>
    <row r="2071" hidden="1" x14ac:dyDescent="0.3"/>
    <row r="2072" hidden="1" x14ac:dyDescent="0.3"/>
    <row r="2073" hidden="1" x14ac:dyDescent="0.3"/>
    <row r="2074" hidden="1" x14ac:dyDescent="0.3"/>
    <row r="2075" hidden="1" x14ac:dyDescent="0.3"/>
    <row r="2076" hidden="1" x14ac:dyDescent="0.3"/>
    <row r="2077" hidden="1" x14ac:dyDescent="0.3"/>
    <row r="2078" hidden="1" x14ac:dyDescent="0.3"/>
    <row r="2079" hidden="1" x14ac:dyDescent="0.3"/>
    <row r="2080" hidden="1" x14ac:dyDescent="0.3"/>
    <row r="2081" hidden="1" x14ac:dyDescent="0.3"/>
    <row r="2082" hidden="1" x14ac:dyDescent="0.3"/>
    <row r="2083" hidden="1" x14ac:dyDescent="0.3"/>
    <row r="2084" hidden="1" x14ac:dyDescent="0.3"/>
    <row r="2085" hidden="1" x14ac:dyDescent="0.3"/>
    <row r="2086" hidden="1" x14ac:dyDescent="0.3"/>
    <row r="2087" hidden="1" x14ac:dyDescent="0.3"/>
    <row r="2088" hidden="1" x14ac:dyDescent="0.3"/>
    <row r="2089" hidden="1" x14ac:dyDescent="0.3"/>
    <row r="2090" hidden="1" x14ac:dyDescent="0.3"/>
    <row r="2091" hidden="1" x14ac:dyDescent="0.3"/>
    <row r="2092" hidden="1" x14ac:dyDescent="0.3"/>
    <row r="2093" hidden="1" x14ac:dyDescent="0.3"/>
    <row r="2094" hidden="1" x14ac:dyDescent="0.3"/>
    <row r="2095" hidden="1" x14ac:dyDescent="0.3"/>
    <row r="2096" hidden="1" x14ac:dyDescent="0.3"/>
    <row r="2097" hidden="1" x14ac:dyDescent="0.3"/>
    <row r="2098" hidden="1" x14ac:dyDescent="0.3"/>
    <row r="2099" hidden="1" x14ac:dyDescent="0.3"/>
    <row r="2100" hidden="1" x14ac:dyDescent="0.3"/>
    <row r="2101" hidden="1" x14ac:dyDescent="0.3"/>
    <row r="2102" hidden="1" x14ac:dyDescent="0.3"/>
    <row r="2103" hidden="1" x14ac:dyDescent="0.3"/>
    <row r="2104" hidden="1" x14ac:dyDescent="0.3"/>
    <row r="2105" hidden="1" x14ac:dyDescent="0.3"/>
    <row r="2106" hidden="1" x14ac:dyDescent="0.3"/>
    <row r="2107" hidden="1" x14ac:dyDescent="0.3"/>
    <row r="2108" hidden="1" x14ac:dyDescent="0.3"/>
    <row r="2109" hidden="1" x14ac:dyDescent="0.3"/>
    <row r="2110" hidden="1" x14ac:dyDescent="0.3"/>
    <row r="2111" hidden="1" x14ac:dyDescent="0.3"/>
    <row r="2112" hidden="1" x14ac:dyDescent="0.3"/>
    <row r="2113" hidden="1" x14ac:dyDescent="0.3"/>
    <row r="2114" hidden="1" x14ac:dyDescent="0.3"/>
    <row r="2115" hidden="1" x14ac:dyDescent="0.3"/>
    <row r="2116" hidden="1" x14ac:dyDescent="0.3"/>
    <row r="2117" hidden="1" x14ac:dyDescent="0.3"/>
    <row r="2118" hidden="1" x14ac:dyDescent="0.3"/>
    <row r="2119" hidden="1" x14ac:dyDescent="0.3"/>
    <row r="2120" hidden="1" x14ac:dyDescent="0.3"/>
    <row r="2121" hidden="1" x14ac:dyDescent="0.3"/>
    <row r="2122" hidden="1" x14ac:dyDescent="0.3"/>
    <row r="2123" hidden="1" x14ac:dyDescent="0.3"/>
    <row r="2124" hidden="1" x14ac:dyDescent="0.3"/>
    <row r="2125" hidden="1" x14ac:dyDescent="0.3"/>
    <row r="2126" hidden="1" x14ac:dyDescent="0.3"/>
    <row r="2127" hidden="1" x14ac:dyDescent="0.3"/>
    <row r="2128" hidden="1" x14ac:dyDescent="0.3"/>
    <row r="2129" hidden="1" x14ac:dyDescent="0.3"/>
    <row r="2130" hidden="1" x14ac:dyDescent="0.3"/>
    <row r="2131" hidden="1" x14ac:dyDescent="0.3"/>
    <row r="2132" hidden="1" x14ac:dyDescent="0.3"/>
    <row r="2133" hidden="1" x14ac:dyDescent="0.3"/>
    <row r="2134" hidden="1" x14ac:dyDescent="0.3"/>
    <row r="2135" hidden="1" x14ac:dyDescent="0.3"/>
    <row r="2136" hidden="1" x14ac:dyDescent="0.3"/>
    <row r="2137" hidden="1" x14ac:dyDescent="0.3"/>
    <row r="2138" hidden="1" x14ac:dyDescent="0.3"/>
    <row r="2139" hidden="1" x14ac:dyDescent="0.3"/>
    <row r="2140" hidden="1" x14ac:dyDescent="0.3"/>
    <row r="2141" hidden="1" x14ac:dyDescent="0.3"/>
    <row r="2142" hidden="1" x14ac:dyDescent="0.3"/>
    <row r="2143" hidden="1" x14ac:dyDescent="0.3"/>
    <row r="2144" hidden="1" x14ac:dyDescent="0.3"/>
    <row r="2145" hidden="1" x14ac:dyDescent="0.3"/>
    <row r="2146" hidden="1" x14ac:dyDescent="0.3"/>
    <row r="2147" hidden="1" x14ac:dyDescent="0.3"/>
    <row r="2148" hidden="1" x14ac:dyDescent="0.3"/>
    <row r="2149" hidden="1" x14ac:dyDescent="0.3"/>
    <row r="2150" hidden="1" x14ac:dyDescent="0.3"/>
    <row r="2151" hidden="1" x14ac:dyDescent="0.3"/>
    <row r="2152" hidden="1" x14ac:dyDescent="0.3"/>
    <row r="2153" hidden="1" x14ac:dyDescent="0.3"/>
    <row r="2154" hidden="1" x14ac:dyDescent="0.3"/>
    <row r="2155" hidden="1" x14ac:dyDescent="0.3"/>
    <row r="2156" hidden="1" x14ac:dyDescent="0.3"/>
    <row r="2157" hidden="1" x14ac:dyDescent="0.3"/>
    <row r="2158" hidden="1" x14ac:dyDescent="0.3"/>
    <row r="2159" hidden="1" x14ac:dyDescent="0.3"/>
    <row r="2160" hidden="1" x14ac:dyDescent="0.3"/>
    <row r="2161" hidden="1" x14ac:dyDescent="0.3"/>
    <row r="2162" hidden="1" x14ac:dyDescent="0.3"/>
    <row r="2163" hidden="1" x14ac:dyDescent="0.3"/>
    <row r="2164" hidden="1" x14ac:dyDescent="0.3"/>
    <row r="2165" hidden="1" x14ac:dyDescent="0.3"/>
    <row r="2166" hidden="1" x14ac:dyDescent="0.3"/>
    <row r="2167" hidden="1" x14ac:dyDescent="0.3"/>
    <row r="2168" hidden="1" x14ac:dyDescent="0.3"/>
    <row r="2169" hidden="1" x14ac:dyDescent="0.3"/>
    <row r="2170" hidden="1" x14ac:dyDescent="0.3"/>
    <row r="2171" hidden="1" x14ac:dyDescent="0.3"/>
    <row r="2172" hidden="1" x14ac:dyDescent="0.3"/>
    <row r="2173" hidden="1" x14ac:dyDescent="0.3"/>
    <row r="2174" hidden="1" x14ac:dyDescent="0.3"/>
    <row r="2175" hidden="1" x14ac:dyDescent="0.3"/>
    <row r="2176" hidden="1" x14ac:dyDescent="0.3"/>
    <row r="2177" hidden="1" x14ac:dyDescent="0.3"/>
    <row r="2178" hidden="1" x14ac:dyDescent="0.3"/>
    <row r="2179" hidden="1" x14ac:dyDescent="0.3"/>
    <row r="2180" hidden="1" x14ac:dyDescent="0.3"/>
    <row r="2181" hidden="1" x14ac:dyDescent="0.3"/>
    <row r="2182" hidden="1" x14ac:dyDescent="0.3"/>
    <row r="2183" hidden="1" x14ac:dyDescent="0.3"/>
    <row r="2184" hidden="1" x14ac:dyDescent="0.3"/>
    <row r="2185" hidden="1" x14ac:dyDescent="0.3"/>
    <row r="2186" hidden="1" x14ac:dyDescent="0.3"/>
    <row r="2187" hidden="1" x14ac:dyDescent="0.3"/>
    <row r="2188" hidden="1" x14ac:dyDescent="0.3"/>
    <row r="2189" hidden="1" x14ac:dyDescent="0.3"/>
    <row r="2190" hidden="1" x14ac:dyDescent="0.3"/>
    <row r="2191" hidden="1" x14ac:dyDescent="0.3"/>
    <row r="2192" hidden="1" x14ac:dyDescent="0.3"/>
    <row r="2193" hidden="1" x14ac:dyDescent="0.3"/>
    <row r="2194" hidden="1" x14ac:dyDescent="0.3"/>
    <row r="2195" hidden="1" x14ac:dyDescent="0.3"/>
    <row r="2196" hidden="1" x14ac:dyDescent="0.3"/>
    <row r="2197" hidden="1" x14ac:dyDescent="0.3"/>
    <row r="2198" hidden="1" x14ac:dyDescent="0.3"/>
    <row r="2199" hidden="1" x14ac:dyDescent="0.3"/>
    <row r="2200" hidden="1" x14ac:dyDescent="0.3"/>
    <row r="2201" hidden="1" x14ac:dyDescent="0.3"/>
    <row r="2202" hidden="1" x14ac:dyDescent="0.3"/>
    <row r="2203" hidden="1" x14ac:dyDescent="0.3"/>
    <row r="2204" hidden="1" x14ac:dyDescent="0.3"/>
    <row r="2205" hidden="1" x14ac:dyDescent="0.3"/>
    <row r="2206" hidden="1" x14ac:dyDescent="0.3"/>
    <row r="2207" hidden="1" x14ac:dyDescent="0.3"/>
    <row r="2208" hidden="1" x14ac:dyDescent="0.3"/>
    <row r="2209" hidden="1" x14ac:dyDescent="0.3"/>
    <row r="2210" hidden="1" x14ac:dyDescent="0.3"/>
    <row r="2211" hidden="1" x14ac:dyDescent="0.3"/>
    <row r="2212" hidden="1" x14ac:dyDescent="0.3"/>
    <row r="2213" hidden="1" x14ac:dyDescent="0.3"/>
    <row r="2214" hidden="1" x14ac:dyDescent="0.3"/>
    <row r="2215" hidden="1" x14ac:dyDescent="0.3"/>
    <row r="2216" hidden="1" x14ac:dyDescent="0.3"/>
    <row r="2217" hidden="1" x14ac:dyDescent="0.3"/>
    <row r="2218" hidden="1" x14ac:dyDescent="0.3"/>
    <row r="2219" hidden="1" x14ac:dyDescent="0.3"/>
    <row r="2220" hidden="1" x14ac:dyDescent="0.3"/>
    <row r="2221" hidden="1" x14ac:dyDescent="0.3"/>
    <row r="2222" hidden="1" x14ac:dyDescent="0.3"/>
    <row r="2223" hidden="1" x14ac:dyDescent="0.3"/>
    <row r="2224" hidden="1" x14ac:dyDescent="0.3"/>
    <row r="2225" hidden="1" x14ac:dyDescent="0.3"/>
    <row r="2226" hidden="1" x14ac:dyDescent="0.3"/>
    <row r="2227" hidden="1" x14ac:dyDescent="0.3"/>
    <row r="2228" hidden="1" x14ac:dyDescent="0.3"/>
    <row r="2229" hidden="1" x14ac:dyDescent="0.3"/>
    <row r="2230" hidden="1" x14ac:dyDescent="0.3"/>
    <row r="2231" hidden="1" x14ac:dyDescent="0.3"/>
    <row r="2232" hidden="1" x14ac:dyDescent="0.3"/>
    <row r="2233" hidden="1" x14ac:dyDescent="0.3"/>
    <row r="2234" hidden="1" x14ac:dyDescent="0.3"/>
    <row r="2235" hidden="1" x14ac:dyDescent="0.3"/>
    <row r="2236" hidden="1" x14ac:dyDescent="0.3"/>
    <row r="2237" hidden="1" x14ac:dyDescent="0.3"/>
    <row r="2238" hidden="1" x14ac:dyDescent="0.3"/>
    <row r="2239" hidden="1" x14ac:dyDescent="0.3"/>
    <row r="2240" hidden="1" x14ac:dyDescent="0.3"/>
    <row r="2241" hidden="1" x14ac:dyDescent="0.3"/>
    <row r="2242" hidden="1" x14ac:dyDescent="0.3"/>
    <row r="2243" hidden="1" x14ac:dyDescent="0.3"/>
    <row r="2244" hidden="1" x14ac:dyDescent="0.3"/>
    <row r="2245" hidden="1" x14ac:dyDescent="0.3"/>
    <row r="2246" hidden="1" x14ac:dyDescent="0.3"/>
    <row r="2247" hidden="1" x14ac:dyDescent="0.3"/>
    <row r="2248" hidden="1" x14ac:dyDescent="0.3"/>
    <row r="2249" hidden="1" x14ac:dyDescent="0.3"/>
    <row r="2250" hidden="1" x14ac:dyDescent="0.3"/>
    <row r="2251" hidden="1" x14ac:dyDescent="0.3"/>
    <row r="2252" hidden="1" x14ac:dyDescent="0.3"/>
    <row r="2253" hidden="1" x14ac:dyDescent="0.3"/>
    <row r="2254" hidden="1" x14ac:dyDescent="0.3"/>
    <row r="2255" hidden="1" x14ac:dyDescent="0.3"/>
    <row r="2256" hidden="1" x14ac:dyDescent="0.3"/>
    <row r="2257" hidden="1" x14ac:dyDescent="0.3"/>
    <row r="2258" hidden="1" x14ac:dyDescent="0.3"/>
    <row r="2259" hidden="1" x14ac:dyDescent="0.3"/>
    <row r="2260" hidden="1" x14ac:dyDescent="0.3"/>
    <row r="2261" hidden="1" x14ac:dyDescent="0.3"/>
    <row r="2262" hidden="1" x14ac:dyDescent="0.3"/>
    <row r="2263" hidden="1" x14ac:dyDescent="0.3"/>
    <row r="2264" hidden="1" x14ac:dyDescent="0.3"/>
    <row r="2265" hidden="1" x14ac:dyDescent="0.3"/>
    <row r="2266" hidden="1" x14ac:dyDescent="0.3"/>
    <row r="2267" hidden="1" x14ac:dyDescent="0.3"/>
    <row r="2268" hidden="1" x14ac:dyDescent="0.3"/>
    <row r="2269" hidden="1" x14ac:dyDescent="0.3"/>
    <row r="2270" hidden="1" x14ac:dyDescent="0.3"/>
    <row r="2271" hidden="1" x14ac:dyDescent="0.3"/>
    <row r="2272" hidden="1" x14ac:dyDescent="0.3"/>
    <row r="2273" hidden="1" x14ac:dyDescent="0.3"/>
    <row r="2274" hidden="1" x14ac:dyDescent="0.3"/>
    <row r="2275" hidden="1" x14ac:dyDescent="0.3"/>
    <row r="2276" hidden="1" x14ac:dyDescent="0.3"/>
    <row r="2277" hidden="1" x14ac:dyDescent="0.3"/>
    <row r="2278" hidden="1" x14ac:dyDescent="0.3"/>
    <row r="2279" hidden="1" x14ac:dyDescent="0.3"/>
    <row r="2280" hidden="1" x14ac:dyDescent="0.3"/>
    <row r="2281" hidden="1" x14ac:dyDescent="0.3"/>
    <row r="2282" hidden="1" x14ac:dyDescent="0.3"/>
    <row r="2283" hidden="1" x14ac:dyDescent="0.3"/>
    <row r="2284" hidden="1" x14ac:dyDescent="0.3"/>
    <row r="2285" hidden="1" x14ac:dyDescent="0.3"/>
    <row r="2286" hidden="1" x14ac:dyDescent="0.3"/>
    <row r="2287" hidden="1" x14ac:dyDescent="0.3"/>
    <row r="2288" hidden="1" x14ac:dyDescent="0.3"/>
    <row r="2289" hidden="1" x14ac:dyDescent="0.3"/>
    <row r="2290" hidden="1" x14ac:dyDescent="0.3"/>
    <row r="2291" hidden="1" x14ac:dyDescent="0.3"/>
    <row r="2292" hidden="1" x14ac:dyDescent="0.3"/>
    <row r="2293" hidden="1" x14ac:dyDescent="0.3"/>
    <row r="2294" hidden="1" x14ac:dyDescent="0.3"/>
    <row r="2295" hidden="1" x14ac:dyDescent="0.3"/>
    <row r="2296" hidden="1" x14ac:dyDescent="0.3"/>
    <row r="2297" hidden="1" x14ac:dyDescent="0.3"/>
    <row r="2298" hidden="1" x14ac:dyDescent="0.3"/>
    <row r="2299" hidden="1" x14ac:dyDescent="0.3"/>
    <row r="2300" hidden="1" x14ac:dyDescent="0.3"/>
    <row r="2301" hidden="1" x14ac:dyDescent="0.3"/>
    <row r="2302" hidden="1" x14ac:dyDescent="0.3"/>
    <row r="2303" hidden="1" x14ac:dyDescent="0.3"/>
    <row r="2304" hidden="1" x14ac:dyDescent="0.3"/>
    <row r="2305" hidden="1" x14ac:dyDescent="0.3"/>
    <row r="2306" hidden="1" x14ac:dyDescent="0.3"/>
    <row r="2307" hidden="1" x14ac:dyDescent="0.3"/>
    <row r="2308" hidden="1" x14ac:dyDescent="0.3"/>
    <row r="2309" hidden="1" x14ac:dyDescent="0.3"/>
    <row r="2310" hidden="1" x14ac:dyDescent="0.3"/>
    <row r="2311" hidden="1" x14ac:dyDescent="0.3"/>
    <row r="2312" hidden="1" x14ac:dyDescent="0.3"/>
    <row r="2313" hidden="1" x14ac:dyDescent="0.3"/>
    <row r="2314" hidden="1" x14ac:dyDescent="0.3"/>
    <row r="2315" hidden="1" x14ac:dyDescent="0.3"/>
    <row r="2316" hidden="1" x14ac:dyDescent="0.3"/>
    <row r="2317" hidden="1" x14ac:dyDescent="0.3"/>
    <row r="2318" hidden="1" x14ac:dyDescent="0.3"/>
    <row r="2319" hidden="1" x14ac:dyDescent="0.3"/>
    <row r="2320" hidden="1" x14ac:dyDescent="0.3"/>
    <row r="2321" hidden="1" x14ac:dyDescent="0.3"/>
    <row r="2322" hidden="1" x14ac:dyDescent="0.3"/>
    <row r="2323" hidden="1" x14ac:dyDescent="0.3"/>
    <row r="2324" hidden="1" x14ac:dyDescent="0.3"/>
    <row r="2325" hidden="1" x14ac:dyDescent="0.3"/>
    <row r="2326" hidden="1" x14ac:dyDescent="0.3"/>
    <row r="2327" hidden="1" x14ac:dyDescent="0.3"/>
    <row r="2328" hidden="1" x14ac:dyDescent="0.3"/>
    <row r="2329" hidden="1" x14ac:dyDescent="0.3"/>
    <row r="2330" hidden="1" x14ac:dyDescent="0.3"/>
    <row r="2331" hidden="1" x14ac:dyDescent="0.3"/>
    <row r="2332" hidden="1" x14ac:dyDescent="0.3"/>
    <row r="2333" hidden="1" x14ac:dyDescent="0.3"/>
    <row r="2334" hidden="1" x14ac:dyDescent="0.3"/>
    <row r="2335" hidden="1" x14ac:dyDescent="0.3"/>
    <row r="2336" hidden="1" x14ac:dyDescent="0.3"/>
    <row r="2337" hidden="1" x14ac:dyDescent="0.3"/>
    <row r="2338" hidden="1" x14ac:dyDescent="0.3"/>
    <row r="2339" hidden="1" x14ac:dyDescent="0.3"/>
    <row r="2340" hidden="1" x14ac:dyDescent="0.3"/>
    <row r="2341" hidden="1" x14ac:dyDescent="0.3"/>
    <row r="2342" hidden="1" x14ac:dyDescent="0.3"/>
    <row r="2343" hidden="1" x14ac:dyDescent="0.3"/>
    <row r="2344" hidden="1" x14ac:dyDescent="0.3"/>
    <row r="2345" hidden="1" x14ac:dyDescent="0.3"/>
    <row r="2346" hidden="1" x14ac:dyDescent="0.3"/>
    <row r="2347" hidden="1" x14ac:dyDescent="0.3"/>
    <row r="2348" hidden="1" x14ac:dyDescent="0.3"/>
    <row r="2349" hidden="1" x14ac:dyDescent="0.3"/>
    <row r="2350" hidden="1" x14ac:dyDescent="0.3"/>
    <row r="2351" hidden="1" x14ac:dyDescent="0.3"/>
    <row r="2352" hidden="1" x14ac:dyDescent="0.3"/>
    <row r="2353" hidden="1" x14ac:dyDescent="0.3"/>
    <row r="2354" hidden="1" x14ac:dyDescent="0.3"/>
    <row r="2355" hidden="1" x14ac:dyDescent="0.3"/>
    <row r="2356" hidden="1" x14ac:dyDescent="0.3"/>
    <row r="2357" hidden="1" x14ac:dyDescent="0.3"/>
    <row r="2358" hidden="1" x14ac:dyDescent="0.3"/>
    <row r="2359" hidden="1" x14ac:dyDescent="0.3"/>
    <row r="2360" hidden="1" x14ac:dyDescent="0.3"/>
    <row r="2361" hidden="1" x14ac:dyDescent="0.3"/>
    <row r="2362" hidden="1" x14ac:dyDescent="0.3"/>
    <row r="2363" hidden="1" x14ac:dyDescent="0.3"/>
    <row r="2364" hidden="1" x14ac:dyDescent="0.3"/>
    <row r="2365" hidden="1" x14ac:dyDescent="0.3"/>
    <row r="2366" hidden="1" x14ac:dyDescent="0.3"/>
    <row r="2367" hidden="1" x14ac:dyDescent="0.3"/>
    <row r="2368" hidden="1" x14ac:dyDescent="0.3"/>
    <row r="2369" hidden="1" x14ac:dyDescent="0.3"/>
    <row r="2370" hidden="1" x14ac:dyDescent="0.3"/>
    <row r="2371" hidden="1" x14ac:dyDescent="0.3"/>
    <row r="2372" hidden="1" x14ac:dyDescent="0.3"/>
    <row r="2373" hidden="1" x14ac:dyDescent="0.3"/>
    <row r="2374" hidden="1" x14ac:dyDescent="0.3"/>
    <row r="2375" hidden="1" x14ac:dyDescent="0.3"/>
    <row r="2376" hidden="1" x14ac:dyDescent="0.3"/>
    <row r="2377" hidden="1" x14ac:dyDescent="0.3"/>
    <row r="2378" hidden="1" x14ac:dyDescent="0.3"/>
    <row r="2379" hidden="1" x14ac:dyDescent="0.3"/>
    <row r="2380" hidden="1" x14ac:dyDescent="0.3"/>
    <row r="2381" hidden="1" x14ac:dyDescent="0.3"/>
    <row r="2382" hidden="1" x14ac:dyDescent="0.3"/>
    <row r="2383" hidden="1" x14ac:dyDescent="0.3"/>
    <row r="2384" hidden="1" x14ac:dyDescent="0.3"/>
    <row r="2385" hidden="1" x14ac:dyDescent="0.3"/>
    <row r="2386" hidden="1" x14ac:dyDescent="0.3"/>
    <row r="2387" hidden="1" x14ac:dyDescent="0.3"/>
    <row r="2388" hidden="1" x14ac:dyDescent="0.3"/>
    <row r="2389" hidden="1" x14ac:dyDescent="0.3"/>
    <row r="2390" hidden="1" x14ac:dyDescent="0.3"/>
    <row r="2391" hidden="1" x14ac:dyDescent="0.3"/>
    <row r="2392" hidden="1" x14ac:dyDescent="0.3"/>
    <row r="2393" hidden="1" x14ac:dyDescent="0.3"/>
    <row r="2394" hidden="1" x14ac:dyDescent="0.3"/>
    <row r="2395" hidden="1" x14ac:dyDescent="0.3"/>
    <row r="2396" hidden="1" x14ac:dyDescent="0.3"/>
    <row r="2397" hidden="1" x14ac:dyDescent="0.3"/>
    <row r="2398" hidden="1" x14ac:dyDescent="0.3"/>
    <row r="2399" hidden="1" x14ac:dyDescent="0.3"/>
    <row r="2400" hidden="1" x14ac:dyDescent="0.3"/>
    <row r="2401" hidden="1" x14ac:dyDescent="0.3"/>
    <row r="2402" hidden="1" x14ac:dyDescent="0.3"/>
    <row r="2403" hidden="1" x14ac:dyDescent="0.3"/>
    <row r="2404" hidden="1" x14ac:dyDescent="0.3"/>
    <row r="2405" hidden="1" x14ac:dyDescent="0.3"/>
    <row r="2406" hidden="1" x14ac:dyDescent="0.3"/>
    <row r="2407" hidden="1" x14ac:dyDescent="0.3"/>
    <row r="2408" hidden="1" x14ac:dyDescent="0.3"/>
    <row r="2409" hidden="1" x14ac:dyDescent="0.3"/>
    <row r="2410" hidden="1" x14ac:dyDescent="0.3"/>
    <row r="2411" hidden="1" x14ac:dyDescent="0.3"/>
    <row r="2412" hidden="1" x14ac:dyDescent="0.3"/>
    <row r="2413" hidden="1" x14ac:dyDescent="0.3"/>
    <row r="2414" hidden="1" x14ac:dyDescent="0.3"/>
    <row r="2415" hidden="1" x14ac:dyDescent="0.3"/>
    <row r="2416" hidden="1" x14ac:dyDescent="0.3"/>
    <row r="2417" hidden="1" x14ac:dyDescent="0.3"/>
    <row r="2418" hidden="1" x14ac:dyDescent="0.3"/>
    <row r="2419" hidden="1" x14ac:dyDescent="0.3"/>
    <row r="2420" hidden="1" x14ac:dyDescent="0.3"/>
    <row r="2421" hidden="1" x14ac:dyDescent="0.3"/>
    <row r="2422" hidden="1" x14ac:dyDescent="0.3"/>
    <row r="2423" hidden="1" x14ac:dyDescent="0.3"/>
    <row r="2424" hidden="1" x14ac:dyDescent="0.3"/>
    <row r="2425" hidden="1" x14ac:dyDescent="0.3"/>
    <row r="2426" hidden="1" x14ac:dyDescent="0.3"/>
    <row r="2427" hidden="1" x14ac:dyDescent="0.3"/>
    <row r="2428" hidden="1" x14ac:dyDescent="0.3"/>
    <row r="2429" hidden="1" x14ac:dyDescent="0.3"/>
    <row r="2430" hidden="1" x14ac:dyDescent="0.3"/>
    <row r="2431" hidden="1" x14ac:dyDescent="0.3"/>
    <row r="2432" hidden="1" x14ac:dyDescent="0.3"/>
    <row r="2433" hidden="1" x14ac:dyDescent="0.3"/>
    <row r="2434" hidden="1" x14ac:dyDescent="0.3"/>
    <row r="2435" hidden="1" x14ac:dyDescent="0.3"/>
    <row r="2436" hidden="1" x14ac:dyDescent="0.3"/>
    <row r="2437" hidden="1" x14ac:dyDescent="0.3"/>
    <row r="2438" hidden="1" x14ac:dyDescent="0.3"/>
    <row r="2439" hidden="1" x14ac:dyDescent="0.3"/>
    <row r="2440" hidden="1" x14ac:dyDescent="0.3"/>
    <row r="2441" hidden="1" x14ac:dyDescent="0.3"/>
    <row r="2442" hidden="1" x14ac:dyDescent="0.3"/>
    <row r="2443" hidden="1" x14ac:dyDescent="0.3"/>
    <row r="2444" hidden="1" x14ac:dyDescent="0.3"/>
    <row r="2445" hidden="1" x14ac:dyDescent="0.3"/>
    <row r="2446" hidden="1" x14ac:dyDescent="0.3"/>
    <row r="2447" hidden="1" x14ac:dyDescent="0.3"/>
    <row r="2448" hidden="1" x14ac:dyDescent="0.3"/>
    <row r="2449" hidden="1" x14ac:dyDescent="0.3"/>
    <row r="2450" hidden="1" x14ac:dyDescent="0.3"/>
    <row r="2451" hidden="1" x14ac:dyDescent="0.3"/>
    <row r="2452" hidden="1" x14ac:dyDescent="0.3"/>
    <row r="2453" hidden="1" x14ac:dyDescent="0.3"/>
    <row r="2454" hidden="1" x14ac:dyDescent="0.3"/>
    <row r="2455" hidden="1" x14ac:dyDescent="0.3"/>
    <row r="2456" hidden="1" x14ac:dyDescent="0.3"/>
    <row r="2457" hidden="1" x14ac:dyDescent="0.3"/>
    <row r="2458" hidden="1" x14ac:dyDescent="0.3"/>
    <row r="2459" hidden="1" x14ac:dyDescent="0.3"/>
    <row r="2460" hidden="1" x14ac:dyDescent="0.3"/>
    <row r="2461" hidden="1" x14ac:dyDescent="0.3"/>
    <row r="2462" hidden="1" x14ac:dyDescent="0.3"/>
    <row r="2463" hidden="1" x14ac:dyDescent="0.3"/>
    <row r="2464" hidden="1" x14ac:dyDescent="0.3"/>
    <row r="2465" hidden="1" x14ac:dyDescent="0.3"/>
    <row r="2466" hidden="1" x14ac:dyDescent="0.3"/>
    <row r="2467" hidden="1" x14ac:dyDescent="0.3"/>
    <row r="2468" hidden="1" x14ac:dyDescent="0.3"/>
    <row r="2469" hidden="1" x14ac:dyDescent="0.3"/>
    <row r="2470" hidden="1" x14ac:dyDescent="0.3"/>
    <row r="2471" hidden="1" x14ac:dyDescent="0.3"/>
    <row r="2472" hidden="1" x14ac:dyDescent="0.3"/>
    <row r="2473" hidden="1" x14ac:dyDescent="0.3"/>
    <row r="2474" hidden="1" x14ac:dyDescent="0.3"/>
    <row r="2475" hidden="1" x14ac:dyDescent="0.3"/>
    <row r="2476" hidden="1" x14ac:dyDescent="0.3"/>
    <row r="2477" hidden="1" x14ac:dyDescent="0.3"/>
    <row r="2478" hidden="1" x14ac:dyDescent="0.3"/>
    <row r="2479" hidden="1" x14ac:dyDescent="0.3"/>
    <row r="2480" hidden="1" x14ac:dyDescent="0.3"/>
    <row r="2481" hidden="1" x14ac:dyDescent="0.3"/>
    <row r="2482" hidden="1" x14ac:dyDescent="0.3"/>
    <row r="2483" hidden="1" x14ac:dyDescent="0.3"/>
    <row r="2484" hidden="1" x14ac:dyDescent="0.3"/>
    <row r="2485" hidden="1" x14ac:dyDescent="0.3"/>
    <row r="2486" hidden="1" x14ac:dyDescent="0.3"/>
    <row r="2487" hidden="1" x14ac:dyDescent="0.3"/>
    <row r="2488" hidden="1" x14ac:dyDescent="0.3"/>
    <row r="2489" hidden="1" x14ac:dyDescent="0.3"/>
    <row r="2490" hidden="1" x14ac:dyDescent="0.3"/>
    <row r="2491" hidden="1" x14ac:dyDescent="0.3"/>
    <row r="2492" hidden="1" x14ac:dyDescent="0.3"/>
    <row r="2493" hidden="1" x14ac:dyDescent="0.3"/>
    <row r="2494" hidden="1" x14ac:dyDescent="0.3"/>
    <row r="2495" hidden="1" x14ac:dyDescent="0.3"/>
    <row r="2496" hidden="1" x14ac:dyDescent="0.3"/>
    <row r="2497" hidden="1" x14ac:dyDescent="0.3"/>
    <row r="2498" hidden="1" x14ac:dyDescent="0.3"/>
    <row r="2499" hidden="1" x14ac:dyDescent="0.3"/>
    <row r="2500" hidden="1" x14ac:dyDescent="0.3"/>
    <row r="2501" hidden="1" x14ac:dyDescent="0.3"/>
    <row r="2502" hidden="1" x14ac:dyDescent="0.3"/>
    <row r="2503" hidden="1" x14ac:dyDescent="0.3"/>
    <row r="2504" hidden="1" x14ac:dyDescent="0.3"/>
    <row r="2505" hidden="1" x14ac:dyDescent="0.3"/>
    <row r="2506" hidden="1" x14ac:dyDescent="0.3"/>
    <row r="2507" hidden="1" x14ac:dyDescent="0.3"/>
    <row r="2508" hidden="1" x14ac:dyDescent="0.3"/>
    <row r="2509" hidden="1" x14ac:dyDescent="0.3"/>
    <row r="2510" hidden="1" x14ac:dyDescent="0.3"/>
    <row r="2511" hidden="1" x14ac:dyDescent="0.3"/>
    <row r="2512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hidden="1" x14ac:dyDescent="0.3"/>
    <row r="2530" hidden="1" x14ac:dyDescent="0.3"/>
    <row r="2531" hidden="1" x14ac:dyDescent="0.3"/>
    <row r="2532" hidden="1" x14ac:dyDescent="0.3"/>
    <row r="2533" hidden="1" x14ac:dyDescent="0.3"/>
    <row r="2534" hidden="1" x14ac:dyDescent="0.3"/>
    <row r="2535" hidden="1" x14ac:dyDescent="0.3"/>
    <row r="2536" hidden="1" x14ac:dyDescent="0.3"/>
    <row r="2537" hidden="1" x14ac:dyDescent="0.3"/>
    <row r="2538" hidden="1" x14ac:dyDescent="0.3"/>
    <row r="2539" hidden="1" x14ac:dyDescent="0.3"/>
    <row r="2540" hidden="1" x14ac:dyDescent="0.3"/>
    <row r="2541" hidden="1" x14ac:dyDescent="0.3"/>
    <row r="2542" hidden="1" x14ac:dyDescent="0.3"/>
    <row r="2543" hidden="1" x14ac:dyDescent="0.3"/>
    <row r="2544" hidden="1" x14ac:dyDescent="0.3"/>
    <row r="2545" hidden="1" x14ac:dyDescent="0.3"/>
    <row r="2546" hidden="1" x14ac:dyDescent="0.3"/>
    <row r="2547" hidden="1" x14ac:dyDescent="0.3"/>
    <row r="2548" hidden="1" x14ac:dyDescent="0.3"/>
    <row r="2549" hidden="1" x14ac:dyDescent="0.3"/>
    <row r="2550" hidden="1" x14ac:dyDescent="0.3"/>
    <row r="2551" hidden="1" x14ac:dyDescent="0.3"/>
    <row r="2552" hidden="1" x14ac:dyDescent="0.3"/>
    <row r="2553" hidden="1" x14ac:dyDescent="0.3"/>
    <row r="2554" hidden="1" x14ac:dyDescent="0.3"/>
    <row r="2555" hidden="1" x14ac:dyDescent="0.3"/>
    <row r="2556" hidden="1" x14ac:dyDescent="0.3"/>
    <row r="2557" hidden="1" x14ac:dyDescent="0.3"/>
    <row r="2558" hidden="1" x14ac:dyDescent="0.3"/>
    <row r="2559" hidden="1" x14ac:dyDescent="0.3"/>
    <row r="2560" hidden="1" x14ac:dyDescent="0.3"/>
    <row r="2561" hidden="1" x14ac:dyDescent="0.3"/>
    <row r="2562" hidden="1" x14ac:dyDescent="0.3"/>
    <row r="2563" hidden="1" x14ac:dyDescent="0.3"/>
    <row r="2564" hidden="1" x14ac:dyDescent="0.3"/>
    <row r="2565" hidden="1" x14ac:dyDescent="0.3"/>
    <row r="2566" hidden="1" x14ac:dyDescent="0.3"/>
    <row r="2567" hidden="1" x14ac:dyDescent="0.3"/>
    <row r="2568" hidden="1" x14ac:dyDescent="0.3"/>
    <row r="2569" hidden="1" x14ac:dyDescent="0.3"/>
    <row r="2570" hidden="1" x14ac:dyDescent="0.3"/>
    <row r="2571" hidden="1" x14ac:dyDescent="0.3"/>
    <row r="2572" hidden="1" x14ac:dyDescent="0.3"/>
    <row r="2573" hidden="1" x14ac:dyDescent="0.3"/>
    <row r="2574" hidden="1" x14ac:dyDescent="0.3"/>
    <row r="2575" hidden="1" x14ac:dyDescent="0.3"/>
    <row r="2576" hidden="1" x14ac:dyDescent="0.3"/>
    <row r="2577" hidden="1" x14ac:dyDescent="0.3"/>
    <row r="2578" hidden="1" x14ac:dyDescent="0.3"/>
    <row r="2579" hidden="1" x14ac:dyDescent="0.3"/>
    <row r="2580" hidden="1" x14ac:dyDescent="0.3"/>
    <row r="2581" hidden="1" x14ac:dyDescent="0.3"/>
    <row r="2582" hidden="1" x14ac:dyDescent="0.3"/>
    <row r="2583" hidden="1" x14ac:dyDescent="0.3"/>
    <row r="2584" hidden="1" x14ac:dyDescent="0.3"/>
    <row r="2585" hidden="1" x14ac:dyDescent="0.3"/>
    <row r="2586" hidden="1" x14ac:dyDescent="0.3"/>
    <row r="2587" hidden="1" x14ac:dyDescent="0.3"/>
    <row r="2588" hidden="1" x14ac:dyDescent="0.3"/>
    <row r="2589" hidden="1" x14ac:dyDescent="0.3"/>
    <row r="2590" hidden="1" x14ac:dyDescent="0.3"/>
    <row r="2591" hidden="1" x14ac:dyDescent="0.3"/>
    <row r="2592" hidden="1" x14ac:dyDescent="0.3"/>
    <row r="2593" hidden="1" x14ac:dyDescent="0.3"/>
    <row r="2594" hidden="1" x14ac:dyDescent="0.3"/>
    <row r="2595" hidden="1" x14ac:dyDescent="0.3"/>
    <row r="2596" hidden="1" x14ac:dyDescent="0.3"/>
    <row r="2597" hidden="1" x14ac:dyDescent="0.3"/>
    <row r="2598" hidden="1" x14ac:dyDescent="0.3"/>
    <row r="2599" hidden="1" x14ac:dyDescent="0.3"/>
    <row r="2600" hidden="1" x14ac:dyDescent="0.3"/>
    <row r="2601" hidden="1" x14ac:dyDescent="0.3"/>
    <row r="2602" hidden="1" x14ac:dyDescent="0.3"/>
    <row r="2603" hidden="1" x14ac:dyDescent="0.3"/>
    <row r="2604" hidden="1" x14ac:dyDescent="0.3"/>
    <row r="2605" hidden="1" x14ac:dyDescent="0.3"/>
    <row r="2606" hidden="1" x14ac:dyDescent="0.3"/>
    <row r="2607" hidden="1" x14ac:dyDescent="0.3"/>
    <row r="2608" hidden="1" x14ac:dyDescent="0.3"/>
    <row r="2609" hidden="1" x14ac:dyDescent="0.3"/>
    <row r="2610" hidden="1" x14ac:dyDescent="0.3"/>
    <row r="2611" hidden="1" x14ac:dyDescent="0.3"/>
    <row r="2612" hidden="1" x14ac:dyDescent="0.3"/>
    <row r="2613" hidden="1" x14ac:dyDescent="0.3"/>
    <row r="2614" hidden="1" x14ac:dyDescent="0.3"/>
    <row r="2615" hidden="1" x14ac:dyDescent="0.3"/>
    <row r="2616" hidden="1" x14ac:dyDescent="0.3"/>
    <row r="2617" hidden="1" x14ac:dyDescent="0.3"/>
    <row r="2618" hidden="1" x14ac:dyDescent="0.3"/>
    <row r="2619" hidden="1" x14ac:dyDescent="0.3"/>
    <row r="2620" hidden="1" x14ac:dyDescent="0.3"/>
    <row r="2621" hidden="1" x14ac:dyDescent="0.3"/>
    <row r="2622" hidden="1" x14ac:dyDescent="0.3"/>
    <row r="2623" hidden="1" x14ac:dyDescent="0.3"/>
    <row r="2624" hidden="1" x14ac:dyDescent="0.3"/>
    <row r="2625" hidden="1" x14ac:dyDescent="0.3"/>
    <row r="2626" hidden="1" x14ac:dyDescent="0.3"/>
    <row r="2627" hidden="1" x14ac:dyDescent="0.3"/>
    <row r="2628" hidden="1" x14ac:dyDescent="0.3"/>
    <row r="2629" hidden="1" x14ac:dyDescent="0.3"/>
    <row r="2630" hidden="1" x14ac:dyDescent="0.3"/>
    <row r="2631" hidden="1" x14ac:dyDescent="0.3"/>
    <row r="2632" hidden="1" x14ac:dyDescent="0.3"/>
    <row r="2633" hidden="1" x14ac:dyDescent="0.3"/>
    <row r="2634" hidden="1" x14ac:dyDescent="0.3"/>
    <row r="2635" hidden="1" x14ac:dyDescent="0.3"/>
    <row r="2636" hidden="1" x14ac:dyDescent="0.3"/>
    <row r="2637" hidden="1" x14ac:dyDescent="0.3"/>
    <row r="2638" hidden="1" x14ac:dyDescent="0.3"/>
    <row r="2639" hidden="1" x14ac:dyDescent="0.3"/>
    <row r="2640" hidden="1" x14ac:dyDescent="0.3"/>
    <row r="2641" hidden="1" x14ac:dyDescent="0.3"/>
    <row r="2642" hidden="1" x14ac:dyDescent="0.3"/>
    <row r="2643" hidden="1" x14ac:dyDescent="0.3"/>
    <row r="2644" hidden="1" x14ac:dyDescent="0.3"/>
    <row r="2645" hidden="1" x14ac:dyDescent="0.3"/>
    <row r="2646" hidden="1" x14ac:dyDescent="0.3"/>
    <row r="2647" hidden="1" x14ac:dyDescent="0.3"/>
    <row r="2648" hidden="1" x14ac:dyDescent="0.3"/>
    <row r="2649" hidden="1" x14ac:dyDescent="0.3"/>
    <row r="2650" hidden="1" x14ac:dyDescent="0.3"/>
    <row r="2651" hidden="1" x14ac:dyDescent="0.3"/>
    <row r="2652" hidden="1" x14ac:dyDescent="0.3"/>
    <row r="2653" hidden="1" x14ac:dyDescent="0.3"/>
    <row r="2654" hidden="1" x14ac:dyDescent="0.3"/>
    <row r="2655" hidden="1" x14ac:dyDescent="0.3"/>
    <row r="2656" hidden="1" x14ac:dyDescent="0.3"/>
    <row r="2657" hidden="1" x14ac:dyDescent="0.3"/>
    <row r="2658" hidden="1" x14ac:dyDescent="0.3"/>
    <row r="2659" hidden="1" x14ac:dyDescent="0.3"/>
    <row r="2660" hidden="1" x14ac:dyDescent="0.3"/>
    <row r="2661" hidden="1" x14ac:dyDescent="0.3"/>
    <row r="2662" hidden="1" x14ac:dyDescent="0.3"/>
    <row r="2663" hidden="1" x14ac:dyDescent="0.3"/>
    <row r="2664" hidden="1" x14ac:dyDescent="0.3"/>
    <row r="2665" hidden="1" x14ac:dyDescent="0.3"/>
    <row r="2666" hidden="1" x14ac:dyDescent="0.3"/>
    <row r="2667" hidden="1" x14ac:dyDescent="0.3"/>
    <row r="2668" hidden="1" x14ac:dyDescent="0.3"/>
    <row r="2669" hidden="1" x14ac:dyDescent="0.3"/>
    <row r="2670" hidden="1" x14ac:dyDescent="0.3"/>
    <row r="2671" hidden="1" x14ac:dyDescent="0.3"/>
    <row r="2672" hidden="1" x14ac:dyDescent="0.3"/>
    <row r="2673" hidden="1" x14ac:dyDescent="0.3"/>
    <row r="2674" hidden="1" x14ac:dyDescent="0.3"/>
    <row r="2675" hidden="1" x14ac:dyDescent="0.3"/>
    <row r="2676" hidden="1" x14ac:dyDescent="0.3"/>
    <row r="2677" hidden="1" x14ac:dyDescent="0.3"/>
    <row r="2678" hidden="1" x14ac:dyDescent="0.3"/>
    <row r="2679" hidden="1" x14ac:dyDescent="0.3"/>
    <row r="2680" hidden="1" x14ac:dyDescent="0.3"/>
    <row r="2681" hidden="1" x14ac:dyDescent="0.3"/>
    <row r="2682" hidden="1" x14ac:dyDescent="0.3"/>
    <row r="2683" hidden="1" x14ac:dyDescent="0.3"/>
    <row r="2684" hidden="1" x14ac:dyDescent="0.3"/>
    <row r="2685" hidden="1" x14ac:dyDescent="0.3"/>
    <row r="2686" hidden="1" x14ac:dyDescent="0.3"/>
    <row r="2687" hidden="1" x14ac:dyDescent="0.3"/>
    <row r="2688" hidden="1" x14ac:dyDescent="0.3"/>
    <row r="2689" hidden="1" x14ac:dyDescent="0.3"/>
    <row r="2690" hidden="1" x14ac:dyDescent="0.3"/>
    <row r="2691" hidden="1" x14ac:dyDescent="0.3"/>
    <row r="2692" hidden="1" x14ac:dyDescent="0.3"/>
    <row r="2693" hidden="1" x14ac:dyDescent="0.3"/>
    <row r="2694" hidden="1" x14ac:dyDescent="0.3"/>
    <row r="2695" hidden="1" x14ac:dyDescent="0.3"/>
    <row r="2696" hidden="1" x14ac:dyDescent="0.3"/>
    <row r="2697" hidden="1" x14ac:dyDescent="0.3"/>
    <row r="2698" hidden="1" x14ac:dyDescent="0.3"/>
    <row r="2699" hidden="1" x14ac:dyDescent="0.3"/>
    <row r="2700" hidden="1" x14ac:dyDescent="0.3"/>
    <row r="2701" hidden="1" x14ac:dyDescent="0.3"/>
    <row r="2702" hidden="1" x14ac:dyDescent="0.3"/>
    <row r="2703" hidden="1" x14ac:dyDescent="0.3"/>
    <row r="2704" hidden="1" x14ac:dyDescent="0.3"/>
    <row r="2705" hidden="1" x14ac:dyDescent="0.3"/>
    <row r="2706" hidden="1" x14ac:dyDescent="0.3"/>
    <row r="2707" hidden="1" x14ac:dyDescent="0.3"/>
    <row r="2708" hidden="1" x14ac:dyDescent="0.3"/>
    <row r="2709" hidden="1" x14ac:dyDescent="0.3"/>
    <row r="2710" hidden="1" x14ac:dyDescent="0.3"/>
    <row r="2711" hidden="1" x14ac:dyDescent="0.3"/>
    <row r="2712" hidden="1" x14ac:dyDescent="0.3"/>
    <row r="2713" hidden="1" x14ac:dyDescent="0.3"/>
    <row r="2714" hidden="1" x14ac:dyDescent="0.3"/>
    <row r="2715" hidden="1" x14ac:dyDescent="0.3"/>
    <row r="2716" hidden="1" x14ac:dyDescent="0.3"/>
    <row r="2717" hidden="1" x14ac:dyDescent="0.3"/>
    <row r="2718" hidden="1" x14ac:dyDescent="0.3"/>
    <row r="2719" hidden="1" x14ac:dyDescent="0.3"/>
    <row r="2720" hidden="1" x14ac:dyDescent="0.3"/>
    <row r="2721" hidden="1" x14ac:dyDescent="0.3"/>
    <row r="2722" hidden="1" x14ac:dyDescent="0.3"/>
    <row r="2723" hidden="1" x14ac:dyDescent="0.3"/>
    <row r="2724" hidden="1" x14ac:dyDescent="0.3"/>
    <row r="2725" hidden="1" x14ac:dyDescent="0.3"/>
    <row r="2726" hidden="1" x14ac:dyDescent="0.3"/>
    <row r="2727" hidden="1" x14ac:dyDescent="0.3"/>
    <row r="2728" hidden="1" x14ac:dyDescent="0.3"/>
    <row r="2729" hidden="1" x14ac:dyDescent="0.3"/>
    <row r="2730" hidden="1" x14ac:dyDescent="0.3"/>
    <row r="2731" hidden="1" x14ac:dyDescent="0.3"/>
    <row r="2732" hidden="1" x14ac:dyDescent="0.3"/>
    <row r="2733" hidden="1" x14ac:dyDescent="0.3"/>
    <row r="2734" hidden="1" x14ac:dyDescent="0.3"/>
    <row r="2735" hidden="1" x14ac:dyDescent="0.3"/>
    <row r="2736" hidden="1" x14ac:dyDescent="0.3"/>
    <row r="2737" hidden="1" x14ac:dyDescent="0.3"/>
    <row r="2738" hidden="1" x14ac:dyDescent="0.3"/>
    <row r="2739" hidden="1" x14ac:dyDescent="0.3"/>
    <row r="2740" hidden="1" x14ac:dyDescent="0.3"/>
    <row r="2741" hidden="1" x14ac:dyDescent="0.3"/>
    <row r="2742" hidden="1" x14ac:dyDescent="0.3"/>
    <row r="2743" hidden="1" x14ac:dyDescent="0.3"/>
    <row r="2744" hidden="1" x14ac:dyDescent="0.3"/>
    <row r="2745" hidden="1" x14ac:dyDescent="0.3"/>
    <row r="2746" hidden="1" x14ac:dyDescent="0.3"/>
    <row r="2747" hidden="1" x14ac:dyDescent="0.3"/>
    <row r="2748" hidden="1" x14ac:dyDescent="0.3"/>
    <row r="2749" hidden="1" x14ac:dyDescent="0.3"/>
    <row r="2750" hidden="1" x14ac:dyDescent="0.3"/>
    <row r="2751" hidden="1" x14ac:dyDescent="0.3"/>
    <row r="2752" hidden="1" x14ac:dyDescent="0.3"/>
    <row r="2753" hidden="1" x14ac:dyDescent="0.3"/>
    <row r="2754" hidden="1" x14ac:dyDescent="0.3"/>
    <row r="2755" hidden="1" x14ac:dyDescent="0.3"/>
    <row r="2756" hidden="1" x14ac:dyDescent="0.3"/>
    <row r="2757" hidden="1" x14ac:dyDescent="0.3"/>
    <row r="2758" hidden="1" x14ac:dyDescent="0.3"/>
    <row r="2759" hidden="1" x14ac:dyDescent="0.3"/>
    <row r="2760" hidden="1" x14ac:dyDescent="0.3"/>
    <row r="2761" hidden="1" x14ac:dyDescent="0.3"/>
    <row r="2762" hidden="1" x14ac:dyDescent="0.3"/>
    <row r="2763" hidden="1" x14ac:dyDescent="0.3"/>
    <row r="2764" hidden="1" x14ac:dyDescent="0.3"/>
    <row r="2765" hidden="1" x14ac:dyDescent="0.3"/>
    <row r="2766" hidden="1" x14ac:dyDescent="0.3"/>
    <row r="2767" hidden="1" x14ac:dyDescent="0.3"/>
    <row r="2768" hidden="1" x14ac:dyDescent="0.3"/>
    <row r="2769" hidden="1" x14ac:dyDescent="0.3"/>
    <row r="2770" hidden="1" x14ac:dyDescent="0.3"/>
    <row r="2771" hidden="1" x14ac:dyDescent="0.3"/>
    <row r="2772" hidden="1" x14ac:dyDescent="0.3"/>
    <row r="2773" hidden="1" x14ac:dyDescent="0.3"/>
    <row r="2774" hidden="1" x14ac:dyDescent="0.3"/>
    <row r="2775" hidden="1" x14ac:dyDescent="0.3"/>
    <row r="2776" hidden="1" x14ac:dyDescent="0.3"/>
    <row r="2777" hidden="1" x14ac:dyDescent="0.3"/>
    <row r="2778" hidden="1" x14ac:dyDescent="0.3"/>
    <row r="2779" hidden="1" x14ac:dyDescent="0.3"/>
    <row r="2780" hidden="1" x14ac:dyDescent="0.3"/>
    <row r="2781" hidden="1" x14ac:dyDescent="0.3"/>
    <row r="2782" hidden="1" x14ac:dyDescent="0.3"/>
    <row r="2783" hidden="1" x14ac:dyDescent="0.3"/>
    <row r="2784" hidden="1" x14ac:dyDescent="0.3"/>
    <row r="2785" hidden="1" x14ac:dyDescent="0.3"/>
    <row r="2786" hidden="1" x14ac:dyDescent="0.3"/>
    <row r="2787" hidden="1" x14ac:dyDescent="0.3"/>
    <row r="2788" hidden="1" x14ac:dyDescent="0.3"/>
    <row r="2789" hidden="1" x14ac:dyDescent="0.3"/>
    <row r="2790" hidden="1" x14ac:dyDescent="0.3"/>
    <row r="2791" hidden="1" x14ac:dyDescent="0.3"/>
    <row r="2792" hidden="1" x14ac:dyDescent="0.3"/>
    <row r="2793" hidden="1" x14ac:dyDescent="0.3"/>
    <row r="2794" hidden="1" x14ac:dyDescent="0.3"/>
    <row r="2795" hidden="1" x14ac:dyDescent="0.3"/>
    <row r="2796" hidden="1" x14ac:dyDescent="0.3"/>
    <row r="2797" hidden="1" x14ac:dyDescent="0.3"/>
    <row r="2798" hidden="1" x14ac:dyDescent="0.3"/>
    <row r="2799" hidden="1" x14ac:dyDescent="0.3"/>
    <row r="2800" hidden="1" x14ac:dyDescent="0.3"/>
    <row r="2801" hidden="1" x14ac:dyDescent="0.3"/>
    <row r="2802" hidden="1" x14ac:dyDescent="0.3"/>
    <row r="2803" hidden="1" x14ac:dyDescent="0.3"/>
    <row r="2804" hidden="1" x14ac:dyDescent="0.3"/>
    <row r="2805" hidden="1" x14ac:dyDescent="0.3"/>
    <row r="2806" hidden="1" x14ac:dyDescent="0.3"/>
    <row r="2807" hidden="1" x14ac:dyDescent="0.3"/>
    <row r="2808" hidden="1" x14ac:dyDescent="0.3"/>
    <row r="2809" hidden="1" x14ac:dyDescent="0.3"/>
    <row r="2810" hidden="1" x14ac:dyDescent="0.3"/>
    <row r="2811" hidden="1" x14ac:dyDescent="0.3"/>
    <row r="2812" hidden="1" x14ac:dyDescent="0.3"/>
    <row r="2813" hidden="1" x14ac:dyDescent="0.3"/>
    <row r="2814" hidden="1" x14ac:dyDescent="0.3"/>
    <row r="2815" hidden="1" x14ac:dyDescent="0.3"/>
    <row r="2816" hidden="1" x14ac:dyDescent="0.3"/>
    <row r="2817" hidden="1" x14ac:dyDescent="0.3"/>
    <row r="2818" hidden="1" x14ac:dyDescent="0.3"/>
    <row r="2819" hidden="1" x14ac:dyDescent="0.3"/>
    <row r="2820" hidden="1" x14ac:dyDescent="0.3"/>
    <row r="2821" hidden="1" x14ac:dyDescent="0.3"/>
    <row r="2822" hidden="1" x14ac:dyDescent="0.3"/>
    <row r="2823" hidden="1" x14ac:dyDescent="0.3"/>
    <row r="2824" hidden="1" x14ac:dyDescent="0.3"/>
    <row r="2825" hidden="1" x14ac:dyDescent="0.3"/>
    <row r="2826" hidden="1" x14ac:dyDescent="0.3"/>
    <row r="2827" hidden="1" x14ac:dyDescent="0.3"/>
    <row r="2828" hidden="1" x14ac:dyDescent="0.3"/>
    <row r="2829" hidden="1" x14ac:dyDescent="0.3"/>
    <row r="2830" hidden="1" x14ac:dyDescent="0.3"/>
    <row r="2831" hidden="1" x14ac:dyDescent="0.3"/>
    <row r="2832" hidden="1" x14ac:dyDescent="0.3"/>
    <row r="2833" hidden="1" x14ac:dyDescent="0.3"/>
    <row r="2834" hidden="1" x14ac:dyDescent="0.3"/>
    <row r="2835" hidden="1" x14ac:dyDescent="0.3"/>
    <row r="2836" hidden="1" x14ac:dyDescent="0.3"/>
    <row r="2837" hidden="1" x14ac:dyDescent="0.3"/>
    <row r="2838" hidden="1" x14ac:dyDescent="0.3"/>
    <row r="2839" hidden="1" x14ac:dyDescent="0.3"/>
    <row r="2840" hidden="1" x14ac:dyDescent="0.3"/>
    <row r="2841" hidden="1" x14ac:dyDescent="0.3"/>
    <row r="2842" hidden="1" x14ac:dyDescent="0.3"/>
    <row r="2843" hidden="1" x14ac:dyDescent="0.3"/>
    <row r="2844" hidden="1" x14ac:dyDescent="0.3"/>
    <row r="2845" hidden="1" x14ac:dyDescent="0.3"/>
    <row r="2846" hidden="1" x14ac:dyDescent="0.3"/>
    <row r="2847" hidden="1" x14ac:dyDescent="0.3"/>
    <row r="2848" hidden="1" x14ac:dyDescent="0.3"/>
    <row r="2849" hidden="1" x14ac:dyDescent="0.3"/>
    <row r="2850" hidden="1" x14ac:dyDescent="0.3"/>
    <row r="2851" hidden="1" x14ac:dyDescent="0.3"/>
    <row r="2852" hidden="1" x14ac:dyDescent="0.3"/>
    <row r="2853" hidden="1" x14ac:dyDescent="0.3"/>
    <row r="2854" hidden="1" x14ac:dyDescent="0.3"/>
    <row r="2855" hidden="1" x14ac:dyDescent="0.3"/>
    <row r="2856" hidden="1" x14ac:dyDescent="0.3"/>
    <row r="2857" hidden="1" x14ac:dyDescent="0.3"/>
    <row r="2858" hidden="1" x14ac:dyDescent="0.3"/>
    <row r="2859" hidden="1" x14ac:dyDescent="0.3"/>
    <row r="2860" hidden="1" x14ac:dyDescent="0.3"/>
    <row r="2861" hidden="1" x14ac:dyDescent="0.3"/>
    <row r="2862" hidden="1" x14ac:dyDescent="0.3"/>
    <row r="2863" hidden="1" x14ac:dyDescent="0.3"/>
    <row r="2864" hidden="1" x14ac:dyDescent="0.3"/>
    <row r="2865" hidden="1" x14ac:dyDescent="0.3"/>
    <row r="2866" hidden="1" x14ac:dyDescent="0.3"/>
    <row r="2867" hidden="1" x14ac:dyDescent="0.3"/>
    <row r="2868" hidden="1" x14ac:dyDescent="0.3"/>
    <row r="2869" hidden="1" x14ac:dyDescent="0.3"/>
    <row r="2870" hidden="1" x14ac:dyDescent="0.3"/>
    <row r="2871" hidden="1" x14ac:dyDescent="0.3"/>
    <row r="2872" hidden="1" x14ac:dyDescent="0.3"/>
    <row r="2873" hidden="1" x14ac:dyDescent="0.3"/>
    <row r="2874" hidden="1" x14ac:dyDescent="0.3"/>
    <row r="2875" hidden="1" x14ac:dyDescent="0.3"/>
    <row r="2876" hidden="1" x14ac:dyDescent="0.3"/>
    <row r="2877" hidden="1" x14ac:dyDescent="0.3"/>
    <row r="2878" hidden="1" x14ac:dyDescent="0.3"/>
    <row r="2879" hidden="1" x14ac:dyDescent="0.3"/>
    <row r="2880" hidden="1" x14ac:dyDescent="0.3"/>
    <row r="2881" hidden="1" x14ac:dyDescent="0.3"/>
    <row r="2882" hidden="1" x14ac:dyDescent="0.3"/>
    <row r="2883" hidden="1" x14ac:dyDescent="0.3"/>
    <row r="2884" hidden="1" x14ac:dyDescent="0.3"/>
    <row r="2885" hidden="1" x14ac:dyDescent="0.3"/>
    <row r="2886" hidden="1" x14ac:dyDescent="0.3"/>
    <row r="2887" hidden="1" x14ac:dyDescent="0.3"/>
    <row r="2888" hidden="1" x14ac:dyDescent="0.3"/>
    <row r="2889" hidden="1" x14ac:dyDescent="0.3"/>
    <row r="2890" hidden="1" x14ac:dyDescent="0.3"/>
    <row r="2891" hidden="1" x14ac:dyDescent="0.3"/>
    <row r="2892" hidden="1" x14ac:dyDescent="0.3"/>
    <row r="2893" hidden="1" x14ac:dyDescent="0.3"/>
    <row r="2894" hidden="1" x14ac:dyDescent="0.3"/>
    <row r="2895" hidden="1" x14ac:dyDescent="0.3"/>
    <row r="2896" hidden="1" x14ac:dyDescent="0.3"/>
    <row r="2897" hidden="1" x14ac:dyDescent="0.3"/>
    <row r="2898" hidden="1" x14ac:dyDescent="0.3"/>
    <row r="2899" hidden="1" x14ac:dyDescent="0.3"/>
    <row r="2900" hidden="1" x14ac:dyDescent="0.3"/>
    <row r="2901" hidden="1" x14ac:dyDescent="0.3"/>
    <row r="2902" hidden="1" x14ac:dyDescent="0.3"/>
    <row r="2903" hidden="1" x14ac:dyDescent="0.3"/>
    <row r="2904" hidden="1" x14ac:dyDescent="0.3"/>
    <row r="2905" hidden="1" x14ac:dyDescent="0.3"/>
    <row r="2906" hidden="1" x14ac:dyDescent="0.3"/>
    <row r="2907" hidden="1" x14ac:dyDescent="0.3"/>
    <row r="2908" hidden="1" x14ac:dyDescent="0.3"/>
    <row r="2909" hidden="1" x14ac:dyDescent="0.3"/>
    <row r="2910" hidden="1" x14ac:dyDescent="0.3"/>
    <row r="2911" hidden="1" x14ac:dyDescent="0.3"/>
    <row r="2912" hidden="1" x14ac:dyDescent="0.3"/>
    <row r="2913" hidden="1" x14ac:dyDescent="0.3"/>
    <row r="2914" hidden="1" x14ac:dyDescent="0.3"/>
    <row r="2915" hidden="1" x14ac:dyDescent="0.3"/>
    <row r="2916" hidden="1" x14ac:dyDescent="0.3"/>
    <row r="2917" hidden="1" x14ac:dyDescent="0.3"/>
    <row r="2918" hidden="1" x14ac:dyDescent="0.3"/>
    <row r="2919" hidden="1" x14ac:dyDescent="0.3"/>
    <row r="2920" hidden="1" x14ac:dyDescent="0.3"/>
    <row r="2921" hidden="1" x14ac:dyDescent="0.3"/>
    <row r="2922" hidden="1" x14ac:dyDescent="0.3"/>
    <row r="2923" hidden="1" x14ac:dyDescent="0.3"/>
    <row r="2924" hidden="1" x14ac:dyDescent="0.3"/>
    <row r="2925" hidden="1" x14ac:dyDescent="0.3"/>
    <row r="2926" hidden="1" x14ac:dyDescent="0.3"/>
    <row r="2927" hidden="1" x14ac:dyDescent="0.3"/>
    <row r="2928" hidden="1" x14ac:dyDescent="0.3"/>
    <row r="2929" hidden="1" x14ac:dyDescent="0.3"/>
    <row r="2930" hidden="1" x14ac:dyDescent="0.3"/>
    <row r="2931" hidden="1" x14ac:dyDescent="0.3"/>
    <row r="2932" hidden="1" x14ac:dyDescent="0.3"/>
    <row r="2933" hidden="1" x14ac:dyDescent="0.3"/>
    <row r="2934" hidden="1" x14ac:dyDescent="0.3"/>
    <row r="2935" hidden="1" x14ac:dyDescent="0.3"/>
    <row r="2936" hidden="1" x14ac:dyDescent="0.3"/>
    <row r="2937" hidden="1" x14ac:dyDescent="0.3"/>
    <row r="2938" hidden="1" x14ac:dyDescent="0.3"/>
    <row r="2939" hidden="1" x14ac:dyDescent="0.3"/>
    <row r="2940" hidden="1" x14ac:dyDescent="0.3"/>
    <row r="2941" hidden="1" x14ac:dyDescent="0.3"/>
    <row r="2942" hidden="1" x14ac:dyDescent="0.3"/>
    <row r="2943" hidden="1" x14ac:dyDescent="0.3"/>
    <row r="2944" hidden="1" x14ac:dyDescent="0.3"/>
    <row r="2945" hidden="1" x14ac:dyDescent="0.3"/>
    <row r="2946" hidden="1" x14ac:dyDescent="0.3"/>
    <row r="2947" hidden="1" x14ac:dyDescent="0.3"/>
    <row r="2948" hidden="1" x14ac:dyDescent="0.3"/>
    <row r="2949" hidden="1" x14ac:dyDescent="0.3"/>
    <row r="2950" hidden="1" x14ac:dyDescent="0.3"/>
    <row r="2951" hidden="1" x14ac:dyDescent="0.3"/>
    <row r="2952" hidden="1" x14ac:dyDescent="0.3"/>
    <row r="2953" hidden="1" x14ac:dyDescent="0.3"/>
    <row r="2954" hidden="1" x14ac:dyDescent="0.3"/>
    <row r="2955" hidden="1" x14ac:dyDescent="0.3"/>
    <row r="2956" hidden="1" x14ac:dyDescent="0.3"/>
    <row r="2957" hidden="1" x14ac:dyDescent="0.3"/>
    <row r="2958" hidden="1" x14ac:dyDescent="0.3"/>
    <row r="2959" hidden="1" x14ac:dyDescent="0.3"/>
    <row r="2960" hidden="1" x14ac:dyDescent="0.3"/>
    <row r="2961" hidden="1" x14ac:dyDescent="0.3"/>
    <row r="2962" hidden="1" x14ac:dyDescent="0.3"/>
    <row r="2963" hidden="1" x14ac:dyDescent="0.3"/>
    <row r="2964" hidden="1" x14ac:dyDescent="0.3"/>
    <row r="2965" hidden="1" x14ac:dyDescent="0.3"/>
    <row r="2966" hidden="1" x14ac:dyDescent="0.3"/>
    <row r="2967" hidden="1" x14ac:dyDescent="0.3"/>
    <row r="2968" hidden="1" x14ac:dyDescent="0.3"/>
    <row r="2969" hidden="1" x14ac:dyDescent="0.3"/>
    <row r="2970" hidden="1" x14ac:dyDescent="0.3"/>
    <row r="2971" hidden="1" x14ac:dyDescent="0.3"/>
    <row r="2972" hidden="1" x14ac:dyDescent="0.3"/>
    <row r="2973" hidden="1" x14ac:dyDescent="0.3"/>
    <row r="2974" hidden="1" x14ac:dyDescent="0.3"/>
    <row r="2975" hidden="1" x14ac:dyDescent="0.3"/>
    <row r="2976" hidden="1" x14ac:dyDescent="0.3"/>
    <row r="2977" hidden="1" x14ac:dyDescent="0.3"/>
    <row r="2978" hidden="1" x14ac:dyDescent="0.3"/>
    <row r="2979" hidden="1" x14ac:dyDescent="0.3"/>
    <row r="2980" hidden="1" x14ac:dyDescent="0.3"/>
    <row r="2981" hidden="1" x14ac:dyDescent="0.3"/>
    <row r="2982" hidden="1" x14ac:dyDescent="0.3"/>
    <row r="2983" hidden="1" x14ac:dyDescent="0.3"/>
    <row r="2984" hidden="1" x14ac:dyDescent="0.3"/>
    <row r="2985" hidden="1" x14ac:dyDescent="0.3"/>
    <row r="2986" hidden="1" x14ac:dyDescent="0.3"/>
    <row r="2987" hidden="1" x14ac:dyDescent="0.3"/>
    <row r="2988" hidden="1" x14ac:dyDescent="0.3"/>
    <row r="2989" hidden="1" x14ac:dyDescent="0.3"/>
    <row r="2990" hidden="1" x14ac:dyDescent="0.3"/>
    <row r="2991" hidden="1" x14ac:dyDescent="0.3"/>
    <row r="2992" hidden="1" x14ac:dyDescent="0.3"/>
    <row r="2993" hidden="1" x14ac:dyDescent="0.3"/>
    <row r="2994" hidden="1" x14ac:dyDescent="0.3"/>
    <row r="2995" hidden="1" x14ac:dyDescent="0.3"/>
    <row r="2996" hidden="1" x14ac:dyDescent="0.3"/>
    <row r="2997" hidden="1" x14ac:dyDescent="0.3"/>
    <row r="2998" hidden="1" x14ac:dyDescent="0.3"/>
    <row r="2999" hidden="1" x14ac:dyDescent="0.3"/>
    <row r="3000" hidden="1" x14ac:dyDescent="0.3"/>
    <row r="3001" hidden="1" x14ac:dyDescent="0.3"/>
    <row r="3002" hidden="1" x14ac:dyDescent="0.3"/>
    <row r="3003" hidden="1" x14ac:dyDescent="0.3"/>
    <row r="3004" hidden="1" x14ac:dyDescent="0.3"/>
    <row r="3005" hidden="1" x14ac:dyDescent="0.3"/>
    <row r="3006" hidden="1" x14ac:dyDescent="0.3"/>
    <row r="3007" hidden="1" x14ac:dyDescent="0.3"/>
    <row r="3008" hidden="1" x14ac:dyDescent="0.3"/>
    <row r="3009" hidden="1" x14ac:dyDescent="0.3"/>
    <row r="3010" hidden="1" x14ac:dyDescent="0.3"/>
    <row r="3011" hidden="1" x14ac:dyDescent="0.3"/>
    <row r="3012" hidden="1" x14ac:dyDescent="0.3"/>
    <row r="3013" hidden="1" x14ac:dyDescent="0.3"/>
    <row r="3014" hidden="1" x14ac:dyDescent="0.3"/>
    <row r="3015" hidden="1" x14ac:dyDescent="0.3"/>
    <row r="3016" hidden="1" x14ac:dyDescent="0.3"/>
    <row r="3017" hidden="1" x14ac:dyDescent="0.3"/>
    <row r="3018" hidden="1" x14ac:dyDescent="0.3"/>
    <row r="3019" hidden="1" x14ac:dyDescent="0.3"/>
    <row r="3020" hidden="1" x14ac:dyDescent="0.3"/>
    <row r="3021" hidden="1" x14ac:dyDescent="0.3"/>
    <row r="3022" hidden="1" x14ac:dyDescent="0.3"/>
    <row r="3023" hidden="1" x14ac:dyDescent="0.3"/>
    <row r="3024" hidden="1" x14ac:dyDescent="0.3"/>
    <row r="3025" hidden="1" x14ac:dyDescent="0.3"/>
    <row r="3026" hidden="1" x14ac:dyDescent="0.3"/>
    <row r="3027" hidden="1" x14ac:dyDescent="0.3"/>
    <row r="3028" hidden="1" x14ac:dyDescent="0.3"/>
    <row r="3029" hidden="1" x14ac:dyDescent="0.3"/>
    <row r="3030" hidden="1" x14ac:dyDescent="0.3"/>
    <row r="3031" hidden="1" x14ac:dyDescent="0.3"/>
    <row r="3032" hidden="1" x14ac:dyDescent="0.3"/>
    <row r="3033" hidden="1" x14ac:dyDescent="0.3"/>
    <row r="3034" hidden="1" x14ac:dyDescent="0.3"/>
    <row r="3035" hidden="1" x14ac:dyDescent="0.3"/>
    <row r="3036" hidden="1" x14ac:dyDescent="0.3"/>
    <row r="3037" hidden="1" x14ac:dyDescent="0.3"/>
    <row r="3038" hidden="1" x14ac:dyDescent="0.3"/>
    <row r="3039" hidden="1" x14ac:dyDescent="0.3"/>
    <row r="3040" hidden="1" x14ac:dyDescent="0.3"/>
    <row r="3041" hidden="1" x14ac:dyDescent="0.3"/>
    <row r="3042" hidden="1" x14ac:dyDescent="0.3"/>
    <row r="3043" hidden="1" x14ac:dyDescent="0.3"/>
    <row r="3044" hidden="1" x14ac:dyDescent="0.3"/>
    <row r="3045" hidden="1" x14ac:dyDescent="0.3"/>
    <row r="3046" hidden="1" x14ac:dyDescent="0.3"/>
    <row r="3047" hidden="1" x14ac:dyDescent="0.3"/>
    <row r="3048" hidden="1" x14ac:dyDescent="0.3"/>
    <row r="3049" hidden="1" x14ac:dyDescent="0.3"/>
    <row r="3050" hidden="1" x14ac:dyDescent="0.3"/>
    <row r="3051" hidden="1" x14ac:dyDescent="0.3"/>
    <row r="3052" hidden="1" x14ac:dyDescent="0.3"/>
    <row r="3053" hidden="1" x14ac:dyDescent="0.3"/>
    <row r="3054" hidden="1" x14ac:dyDescent="0.3"/>
    <row r="3055" hidden="1" x14ac:dyDescent="0.3"/>
    <row r="3056" hidden="1" x14ac:dyDescent="0.3"/>
    <row r="3057" hidden="1" x14ac:dyDescent="0.3"/>
    <row r="3058" hidden="1" x14ac:dyDescent="0.3"/>
    <row r="3059" hidden="1" x14ac:dyDescent="0.3"/>
    <row r="3060" hidden="1" x14ac:dyDescent="0.3"/>
    <row r="3061" hidden="1" x14ac:dyDescent="0.3"/>
    <row r="3062" hidden="1" x14ac:dyDescent="0.3"/>
    <row r="3063" hidden="1" x14ac:dyDescent="0.3"/>
    <row r="3064" hidden="1" x14ac:dyDescent="0.3"/>
    <row r="3065" hidden="1" x14ac:dyDescent="0.3"/>
    <row r="3066" hidden="1" x14ac:dyDescent="0.3"/>
    <row r="3067" hidden="1" x14ac:dyDescent="0.3"/>
    <row r="3068" hidden="1" x14ac:dyDescent="0.3"/>
    <row r="3069" hidden="1" x14ac:dyDescent="0.3"/>
    <row r="3070" hidden="1" x14ac:dyDescent="0.3"/>
    <row r="3071" hidden="1" x14ac:dyDescent="0.3"/>
    <row r="3072" hidden="1" x14ac:dyDescent="0.3"/>
    <row r="3073" hidden="1" x14ac:dyDescent="0.3"/>
    <row r="3074" hidden="1" x14ac:dyDescent="0.3"/>
    <row r="3075" hidden="1" x14ac:dyDescent="0.3"/>
    <row r="3076" hidden="1" x14ac:dyDescent="0.3"/>
    <row r="3077" hidden="1" x14ac:dyDescent="0.3"/>
    <row r="3078" hidden="1" x14ac:dyDescent="0.3"/>
    <row r="3079" hidden="1" x14ac:dyDescent="0.3"/>
    <row r="3080" hidden="1" x14ac:dyDescent="0.3"/>
    <row r="3081" hidden="1" x14ac:dyDescent="0.3"/>
    <row r="3082" hidden="1" x14ac:dyDescent="0.3"/>
    <row r="3083" hidden="1" x14ac:dyDescent="0.3"/>
    <row r="3084" hidden="1" x14ac:dyDescent="0.3"/>
    <row r="3085" hidden="1" x14ac:dyDescent="0.3"/>
    <row r="3086" hidden="1" x14ac:dyDescent="0.3"/>
    <row r="3087" hidden="1" x14ac:dyDescent="0.3"/>
    <row r="3088" hidden="1" x14ac:dyDescent="0.3"/>
    <row r="3089" hidden="1" x14ac:dyDescent="0.3"/>
    <row r="3090" hidden="1" x14ac:dyDescent="0.3"/>
    <row r="3091" hidden="1" x14ac:dyDescent="0.3"/>
    <row r="3092" hidden="1" x14ac:dyDescent="0.3"/>
    <row r="3093" hidden="1" x14ac:dyDescent="0.3"/>
    <row r="3094" hidden="1" x14ac:dyDescent="0.3"/>
    <row r="3095" hidden="1" x14ac:dyDescent="0.3"/>
    <row r="3096" hidden="1" x14ac:dyDescent="0.3"/>
    <row r="3097" hidden="1" x14ac:dyDescent="0.3"/>
    <row r="3098" hidden="1" x14ac:dyDescent="0.3"/>
    <row r="3099" hidden="1" x14ac:dyDescent="0.3"/>
    <row r="3100" hidden="1" x14ac:dyDescent="0.3"/>
    <row r="3101" hidden="1" x14ac:dyDescent="0.3"/>
    <row r="3102" hidden="1" x14ac:dyDescent="0.3"/>
    <row r="3103" hidden="1" x14ac:dyDescent="0.3"/>
    <row r="3104" hidden="1" x14ac:dyDescent="0.3"/>
    <row r="3105" hidden="1" x14ac:dyDescent="0.3"/>
    <row r="3106" hidden="1" x14ac:dyDescent="0.3"/>
    <row r="3107" hidden="1" x14ac:dyDescent="0.3"/>
    <row r="3108" hidden="1" x14ac:dyDescent="0.3"/>
    <row r="3109" hidden="1" x14ac:dyDescent="0.3"/>
    <row r="3110" hidden="1" x14ac:dyDescent="0.3"/>
    <row r="3111" hidden="1" x14ac:dyDescent="0.3"/>
    <row r="3112" hidden="1" x14ac:dyDescent="0.3"/>
    <row r="3113" hidden="1" x14ac:dyDescent="0.3"/>
    <row r="3114" hidden="1" x14ac:dyDescent="0.3"/>
    <row r="3115" hidden="1" x14ac:dyDescent="0.3"/>
    <row r="3116" hidden="1" x14ac:dyDescent="0.3"/>
    <row r="3117" hidden="1" x14ac:dyDescent="0.3"/>
    <row r="3118" hidden="1" x14ac:dyDescent="0.3"/>
    <row r="3119" hidden="1" x14ac:dyDescent="0.3"/>
    <row r="3120" hidden="1" x14ac:dyDescent="0.3"/>
    <row r="3121" hidden="1" x14ac:dyDescent="0.3"/>
    <row r="3122" hidden="1" x14ac:dyDescent="0.3"/>
    <row r="3123" hidden="1" x14ac:dyDescent="0.3"/>
    <row r="3124" hidden="1" x14ac:dyDescent="0.3"/>
    <row r="3125" hidden="1" x14ac:dyDescent="0.3"/>
    <row r="3126" hidden="1" x14ac:dyDescent="0.3"/>
    <row r="3127" hidden="1" x14ac:dyDescent="0.3"/>
    <row r="3128" hidden="1" x14ac:dyDescent="0.3"/>
    <row r="3129" hidden="1" x14ac:dyDescent="0.3"/>
    <row r="3130" hidden="1" x14ac:dyDescent="0.3"/>
    <row r="3131" hidden="1" x14ac:dyDescent="0.3"/>
    <row r="3132" hidden="1" x14ac:dyDescent="0.3"/>
    <row r="3133" hidden="1" x14ac:dyDescent="0.3"/>
    <row r="3134" hidden="1" x14ac:dyDescent="0.3"/>
    <row r="3135" hidden="1" x14ac:dyDescent="0.3"/>
    <row r="3136" hidden="1" x14ac:dyDescent="0.3"/>
    <row r="3137" hidden="1" x14ac:dyDescent="0.3"/>
    <row r="3138" hidden="1" x14ac:dyDescent="0.3"/>
    <row r="3139" hidden="1" x14ac:dyDescent="0.3"/>
    <row r="3140" hidden="1" x14ac:dyDescent="0.3"/>
    <row r="3141" hidden="1" x14ac:dyDescent="0.3"/>
    <row r="3142" hidden="1" x14ac:dyDescent="0.3"/>
    <row r="3143" hidden="1" x14ac:dyDescent="0.3"/>
    <row r="3144" hidden="1" x14ac:dyDescent="0.3"/>
    <row r="3145" hidden="1" x14ac:dyDescent="0.3"/>
    <row r="3146" hidden="1" x14ac:dyDescent="0.3"/>
    <row r="3147" hidden="1" x14ac:dyDescent="0.3"/>
    <row r="3148" hidden="1" x14ac:dyDescent="0.3"/>
    <row r="3149" hidden="1" x14ac:dyDescent="0.3"/>
    <row r="3150" hidden="1" x14ac:dyDescent="0.3"/>
    <row r="3151" hidden="1" x14ac:dyDescent="0.3"/>
    <row r="3152" hidden="1" x14ac:dyDescent="0.3"/>
    <row r="3153" hidden="1" x14ac:dyDescent="0.3"/>
    <row r="3154" hidden="1" x14ac:dyDescent="0.3"/>
    <row r="3155" hidden="1" x14ac:dyDescent="0.3"/>
    <row r="3156" hidden="1" x14ac:dyDescent="0.3"/>
    <row r="3157" hidden="1" x14ac:dyDescent="0.3"/>
    <row r="3158" hidden="1" x14ac:dyDescent="0.3"/>
    <row r="3159" hidden="1" x14ac:dyDescent="0.3"/>
    <row r="3160" hidden="1" x14ac:dyDescent="0.3"/>
    <row r="3161" hidden="1" x14ac:dyDescent="0.3"/>
    <row r="3162" hidden="1" x14ac:dyDescent="0.3"/>
    <row r="3163" hidden="1" x14ac:dyDescent="0.3"/>
    <row r="3164" hidden="1" x14ac:dyDescent="0.3"/>
    <row r="3165" hidden="1" x14ac:dyDescent="0.3"/>
    <row r="3166" hidden="1" x14ac:dyDescent="0.3"/>
    <row r="3167" hidden="1" x14ac:dyDescent="0.3"/>
    <row r="3168" hidden="1" x14ac:dyDescent="0.3"/>
    <row r="3169" hidden="1" x14ac:dyDescent="0.3"/>
    <row r="3170" hidden="1" x14ac:dyDescent="0.3"/>
    <row r="3171" hidden="1" x14ac:dyDescent="0.3"/>
    <row r="3172" hidden="1" x14ac:dyDescent="0.3"/>
    <row r="3173" hidden="1" x14ac:dyDescent="0.3"/>
    <row r="3174" hidden="1" x14ac:dyDescent="0.3"/>
    <row r="3175" hidden="1" x14ac:dyDescent="0.3"/>
    <row r="3176" hidden="1" x14ac:dyDescent="0.3"/>
    <row r="3177" hidden="1" x14ac:dyDescent="0.3"/>
    <row r="3178" hidden="1" x14ac:dyDescent="0.3"/>
    <row r="3179" hidden="1" x14ac:dyDescent="0.3"/>
    <row r="3180" hidden="1" x14ac:dyDescent="0.3"/>
    <row r="3181" hidden="1" x14ac:dyDescent="0.3"/>
    <row r="3182" hidden="1" x14ac:dyDescent="0.3"/>
    <row r="3183" hidden="1" x14ac:dyDescent="0.3"/>
    <row r="3184" hidden="1" x14ac:dyDescent="0.3"/>
    <row r="3185" hidden="1" x14ac:dyDescent="0.3"/>
    <row r="3186" hidden="1" x14ac:dyDescent="0.3"/>
    <row r="3187" hidden="1" x14ac:dyDescent="0.3"/>
    <row r="3188" hidden="1" x14ac:dyDescent="0.3"/>
    <row r="3189" hidden="1" x14ac:dyDescent="0.3"/>
    <row r="3190" hidden="1" x14ac:dyDescent="0.3"/>
    <row r="3191" hidden="1" x14ac:dyDescent="0.3"/>
    <row r="3192" hidden="1" x14ac:dyDescent="0.3"/>
    <row r="3193" hidden="1" x14ac:dyDescent="0.3"/>
    <row r="3194" hidden="1" x14ac:dyDescent="0.3"/>
    <row r="3195" hidden="1" x14ac:dyDescent="0.3"/>
    <row r="3196" hidden="1" x14ac:dyDescent="0.3"/>
    <row r="3197" hidden="1" x14ac:dyDescent="0.3"/>
    <row r="3198" hidden="1" x14ac:dyDescent="0.3"/>
    <row r="3199" hidden="1" x14ac:dyDescent="0.3"/>
    <row r="3200" hidden="1" x14ac:dyDescent="0.3"/>
    <row r="3201" hidden="1" x14ac:dyDescent="0.3"/>
    <row r="3202" hidden="1" x14ac:dyDescent="0.3"/>
    <row r="3203" hidden="1" x14ac:dyDescent="0.3"/>
    <row r="3204" hidden="1" x14ac:dyDescent="0.3"/>
    <row r="3205" hidden="1" x14ac:dyDescent="0.3"/>
    <row r="3206" hidden="1" x14ac:dyDescent="0.3"/>
    <row r="3207" hidden="1" x14ac:dyDescent="0.3"/>
    <row r="3208" hidden="1" x14ac:dyDescent="0.3"/>
    <row r="3209" hidden="1" x14ac:dyDescent="0.3"/>
    <row r="3210" hidden="1" x14ac:dyDescent="0.3"/>
    <row r="3211" hidden="1" x14ac:dyDescent="0.3"/>
    <row r="3212" hidden="1" x14ac:dyDescent="0.3"/>
    <row r="3213" hidden="1" x14ac:dyDescent="0.3"/>
    <row r="3214" hidden="1" x14ac:dyDescent="0.3"/>
    <row r="3215" hidden="1" x14ac:dyDescent="0.3"/>
    <row r="3216" hidden="1" x14ac:dyDescent="0.3"/>
    <row r="3217" hidden="1" x14ac:dyDescent="0.3"/>
    <row r="3218" hidden="1" x14ac:dyDescent="0.3"/>
    <row r="3219" hidden="1" x14ac:dyDescent="0.3"/>
    <row r="3220" hidden="1" x14ac:dyDescent="0.3"/>
    <row r="3221" hidden="1" x14ac:dyDescent="0.3"/>
    <row r="3222" hidden="1" x14ac:dyDescent="0.3"/>
    <row r="3223" hidden="1" x14ac:dyDescent="0.3"/>
    <row r="3224" hidden="1" x14ac:dyDescent="0.3"/>
    <row r="3225" hidden="1" x14ac:dyDescent="0.3"/>
    <row r="3226" hidden="1" x14ac:dyDescent="0.3"/>
    <row r="3227" hidden="1" x14ac:dyDescent="0.3"/>
    <row r="3228" hidden="1" x14ac:dyDescent="0.3"/>
    <row r="3229" hidden="1" x14ac:dyDescent="0.3"/>
    <row r="3230" hidden="1" x14ac:dyDescent="0.3"/>
    <row r="3231" hidden="1" x14ac:dyDescent="0.3"/>
    <row r="3232" hidden="1" x14ac:dyDescent="0.3"/>
    <row r="3233" hidden="1" x14ac:dyDescent="0.3"/>
    <row r="3234" hidden="1" x14ac:dyDescent="0.3"/>
    <row r="3235" hidden="1" x14ac:dyDescent="0.3"/>
    <row r="3236" hidden="1" x14ac:dyDescent="0.3"/>
    <row r="3237" hidden="1" x14ac:dyDescent="0.3"/>
    <row r="3238" hidden="1" x14ac:dyDescent="0.3"/>
    <row r="3239" hidden="1" x14ac:dyDescent="0.3"/>
    <row r="3240" hidden="1" x14ac:dyDescent="0.3"/>
    <row r="3241" hidden="1" x14ac:dyDescent="0.3"/>
    <row r="3242" hidden="1" x14ac:dyDescent="0.3"/>
    <row r="3243" hidden="1" x14ac:dyDescent="0.3"/>
    <row r="3244" hidden="1" x14ac:dyDescent="0.3"/>
    <row r="3245" hidden="1" x14ac:dyDescent="0.3"/>
    <row r="3246" hidden="1" x14ac:dyDescent="0.3"/>
    <row r="3247" hidden="1" x14ac:dyDescent="0.3"/>
    <row r="3248" hidden="1" x14ac:dyDescent="0.3"/>
    <row r="3249" hidden="1" x14ac:dyDescent="0.3"/>
    <row r="3250" hidden="1" x14ac:dyDescent="0.3"/>
    <row r="3251" hidden="1" x14ac:dyDescent="0.3"/>
    <row r="3252" hidden="1" x14ac:dyDescent="0.3"/>
    <row r="3253" hidden="1" x14ac:dyDescent="0.3"/>
    <row r="3254" hidden="1" x14ac:dyDescent="0.3"/>
    <row r="3255" hidden="1" x14ac:dyDescent="0.3"/>
    <row r="3256" hidden="1" x14ac:dyDescent="0.3"/>
    <row r="3257" hidden="1" x14ac:dyDescent="0.3"/>
    <row r="3258" hidden="1" x14ac:dyDescent="0.3"/>
    <row r="3259" hidden="1" x14ac:dyDescent="0.3"/>
    <row r="3260" hidden="1" x14ac:dyDescent="0.3"/>
    <row r="3261" hidden="1" x14ac:dyDescent="0.3"/>
    <row r="3262" hidden="1" x14ac:dyDescent="0.3"/>
    <row r="3263" hidden="1" x14ac:dyDescent="0.3"/>
    <row r="3264" hidden="1" x14ac:dyDescent="0.3"/>
    <row r="3265" hidden="1" x14ac:dyDescent="0.3"/>
    <row r="3266" hidden="1" x14ac:dyDescent="0.3"/>
    <row r="3267" hidden="1" x14ac:dyDescent="0.3"/>
    <row r="3268" hidden="1" x14ac:dyDescent="0.3"/>
    <row r="3269" hidden="1" x14ac:dyDescent="0.3"/>
    <row r="3270" hidden="1" x14ac:dyDescent="0.3"/>
    <row r="3271" hidden="1" x14ac:dyDescent="0.3"/>
    <row r="3272" hidden="1" x14ac:dyDescent="0.3"/>
    <row r="3273" hidden="1" x14ac:dyDescent="0.3"/>
    <row r="3274" hidden="1" x14ac:dyDescent="0.3"/>
    <row r="3275" hidden="1" x14ac:dyDescent="0.3"/>
    <row r="3276" hidden="1" x14ac:dyDescent="0.3"/>
    <row r="3277" hidden="1" x14ac:dyDescent="0.3"/>
    <row r="3278" hidden="1" x14ac:dyDescent="0.3"/>
    <row r="3279" hidden="1" x14ac:dyDescent="0.3"/>
    <row r="3280" hidden="1" x14ac:dyDescent="0.3"/>
    <row r="3281" hidden="1" x14ac:dyDescent="0.3"/>
    <row r="3282" hidden="1" x14ac:dyDescent="0.3"/>
    <row r="3283" hidden="1" x14ac:dyDescent="0.3"/>
    <row r="3284" hidden="1" x14ac:dyDescent="0.3"/>
    <row r="3285" hidden="1" x14ac:dyDescent="0.3"/>
    <row r="3286" hidden="1" x14ac:dyDescent="0.3"/>
    <row r="3287" hidden="1" x14ac:dyDescent="0.3"/>
    <row r="3288" hidden="1" x14ac:dyDescent="0.3"/>
    <row r="3289" hidden="1" x14ac:dyDescent="0.3"/>
    <row r="3290" hidden="1" x14ac:dyDescent="0.3"/>
    <row r="3291" hidden="1" x14ac:dyDescent="0.3"/>
    <row r="3292" hidden="1" x14ac:dyDescent="0.3"/>
    <row r="3293" hidden="1" x14ac:dyDescent="0.3"/>
    <row r="3294" hidden="1" x14ac:dyDescent="0.3"/>
    <row r="3295" hidden="1" x14ac:dyDescent="0.3"/>
    <row r="3296" hidden="1" x14ac:dyDescent="0.3"/>
    <row r="3297" hidden="1" x14ac:dyDescent="0.3"/>
    <row r="3298" hidden="1" x14ac:dyDescent="0.3"/>
    <row r="3299" hidden="1" x14ac:dyDescent="0.3"/>
    <row r="3300" hidden="1" x14ac:dyDescent="0.3"/>
    <row r="3301" hidden="1" x14ac:dyDescent="0.3"/>
    <row r="3302" hidden="1" x14ac:dyDescent="0.3"/>
    <row r="3303" hidden="1" x14ac:dyDescent="0.3"/>
    <row r="3304" hidden="1" x14ac:dyDescent="0.3"/>
    <row r="3305" hidden="1" x14ac:dyDescent="0.3"/>
    <row r="3306" hidden="1" x14ac:dyDescent="0.3"/>
    <row r="3307" hidden="1" x14ac:dyDescent="0.3"/>
    <row r="3308" hidden="1" x14ac:dyDescent="0.3"/>
    <row r="3309" hidden="1" x14ac:dyDescent="0.3"/>
    <row r="3310" hidden="1" x14ac:dyDescent="0.3"/>
    <row r="3311" hidden="1" x14ac:dyDescent="0.3"/>
    <row r="3312" hidden="1" x14ac:dyDescent="0.3"/>
    <row r="3313" hidden="1" x14ac:dyDescent="0.3"/>
    <row r="3314" hidden="1" x14ac:dyDescent="0.3"/>
    <row r="3315" hidden="1" x14ac:dyDescent="0.3"/>
    <row r="3316" hidden="1" x14ac:dyDescent="0.3"/>
    <row r="3317" hidden="1" x14ac:dyDescent="0.3"/>
    <row r="3318" hidden="1" x14ac:dyDescent="0.3"/>
    <row r="3319" hidden="1" x14ac:dyDescent="0.3"/>
    <row r="3320" hidden="1" x14ac:dyDescent="0.3"/>
    <row r="3321" hidden="1" x14ac:dyDescent="0.3"/>
    <row r="3322" hidden="1" x14ac:dyDescent="0.3"/>
    <row r="3323" hidden="1" x14ac:dyDescent="0.3"/>
    <row r="3324" hidden="1" x14ac:dyDescent="0.3"/>
    <row r="3325" hidden="1" x14ac:dyDescent="0.3"/>
    <row r="3326" hidden="1" x14ac:dyDescent="0.3"/>
    <row r="3327" hidden="1" x14ac:dyDescent="0.3"/>
    <row r="3328" hidden="1" x14ac:dyDescent="0.3"/>
    <row r="3329" hidden="1" x14ac:dyDescent="0.3"/>
    <row r="3330" hidden="1" x14ac:dyDescent="0.3"/>
    <row r="3331" hidden="1" x14ac:dyDescent="0.3"/>
    <row r="3332" hidden="1" x14ac:dyDescent="0.3"/>
    <row r="3333" hidden="1" x14ac:dyDescent="0.3"/>
    <row r="3334" hidden="1" x14ac:dyDescent="0.3"/>
    <row r="3335" hidden="1" x14ac:dyDescent="0.3"/>
    <row r="3336" hidden="1" x14ac:dyDescent="0.3"/>
    <row r="3337" hidden="1" x14ac:dyDescent="0.3"/>
    <row r="3338" hidden="1" x14ac:dyDescent="0.3"/>
    <row r="3339" hidden="1" x14ac:dyDescent="0.3"/>
    <row r="3340" hidden="1" x14ac:dyDescent="0.3"/>
    <row r="3341" hidden="1" x14ac:dyDescent="0.3"/>
    <row r="3342" hidden="1" x14ac:dyDescent="0.3"/>
    <row r="3343" hidden="1" x14ac:dyDescent="0.3"/>
    <row r="3344" hidden="1" x14ac:dyDescent="0.3"/>
    <row r="3345" hidden="1" x14ac:dyDescent="0.3"/>
    <row r="3346" hidden="1" x14ac:dyDescent="0.3"/>
    <row r="3347" hidden="1" x14ac:dyDescent="0.3"/>
    <row r="3348" hidden="1" x14ac:dyDescent="0.3"/>
    <row r="3349" hidden="1" x14ac:dyDescent="0.3"/>
    <row r="3350" hidden="1" x14ac:dyDescent="0.3"/>
    <row r="3351" hidden="1" x14ac:dyDescent="0.3"/>
    <row r="3352" hidden="1" x14ac:dyDescent="0.3"/>
    <row r="3353" hidden="1" x14ac:dyDescent="0.3"/>
    <row r="3354" hidden="1" x14ac:dyDescent="0.3"/>
    <row r="3355" hidden="1" x14ac:dyDescent="0.3"/>
    <row r="3356" hidden="1" x14ac:dyDescent="0.3"/>
    <row r="3357" hidden="1" x14ac:dyDescent="0.3"/>
    <row r="3358" hidden="1" x14ac:dyDescent="0.3"/>
    <row r="3359" hidden="1" x14ac:dyDescent="0.3"/>
    <row r="3360" hidden="1" x14ac:dyDescent="0.3"/>
    <row r="3361" hidden="1" x14ac:dyDescent="0.3"/>
    <row r="3362" hidden="1" x14ac:dyDescent="0.3"/>
    <row r="3363" hidden="1" x14ac:dyDescent="0.3"/>
    <row r="3364" hidden="1" x14ac:dyDescent="0.3"/>
    <row r="3365" hidden="1" x14ac:dyDescent="0.3"/>
    <row r="3366" hidden="1" x14ac:dyDescent="0.3"/>
    <row r="3367" hidden="1" x14ac:dyDescent="0.3"/>
    <row r="3368" hidden="1" x14ac:dyDescent="0.3"/>
    <row r="3369" hidden="1" x14ac:dyDescent="0.3"/>
    <row r="3370" hidden="1" x14ac:dyDescent="0.3"/>
    <row r="3371" hidden="1" x14ac:dyDescent="0.3"/>
    <row r="3372" hidden="1" x14ac:dyDescent="0.3"/>
    <row r="3373" hidden="1" x14ac:dyDescent="0.3"/>
    <row r="3374" hidden="1" x14ac:dyDescent="0.3"/>
    <row r="3375" hidden="1" x14ac:dyDescent="0.3"/>
    <row r="3376" hidden="1" x14ac:dyDescent="0.3"/>
    <row r="3377" hidden="1" x14ac:dyDescent="0.3"/>
    <row r="3378" hidden="1" x14ac:dyDescent="0.3"/>
    <row r="3379" hidden="1" x14ac:dyDescent="0.3"/>
    <row r="3380" hidden="1" x14ac:dyDescent="0.3"/>
    <row r="3381" hidden="1" x14ac:dyDescent="0.3"/>
    <row r="3382" hidden="1" x14ac:dyDescent="0.3"/>
    <row r="3383" hidden="1" x14ac:dyDescent="0.3"/>
    <row r="3384" hidden="1" x14ac:dyDescent="0.3"/>
    <row r="3385" hidden="1" x14ac:dyDescent="0.3"/>
    <row r="3386" hidden="1" x14ac:dyDescent="0.3"/>
    <row r="3387" hidden="1" x14ac:dyDescent="0.3"/>
    <row r="3388" hidden="1" x14ac:dyDescent="0.3"/>
    <row r="3389" hidden="1" x14ac:dyDescent="0.3"/>
    <row r="3390" hidden="1" x14ac:dyDescent="0.3"/>
    <row r="3391" hidden="1" x14ac:dyDescent="0.3"/>
    <row r="3392" hidden="1" x14ac:dyDescent="0.3"/>
    <row r="3393" hidden="1" x14ac:dyDescent="0.3"/>
    <row r="3394" hidden="1" x14ac:dyDescent="0.3"/>
    <row r="3395" hidden="1" x14ac:dyDescent="0.3"/>
    <row r="3396" hidden="1" x14ac:dyDescent="0.3"/>
    <row r="3397" hidden="1" x14ac:dyDescent="0.3"/>
    <row r="3398" hidden="1" x14ac:dyDescent="0.3"/>
    <row r="3399" hidden="1" x14ac:dyDescent="0.3"/>
    <row r="3400" hidden="1" x14ac:dyDescent="0.3"/>
    <row r="3401" hidden="1" x14ac:dyDescent="0.3"/>
    <row r="3402" hidden="1" x14ac:dyDescent="0.3"/>
    <row r="3403" hidden="1" x14ac:dyDescent="0.3"/>
    <row r="3404" hidden="1" x14ac:dyDescent="0.3"/>
    <row r="3405" hidden="1" x14ac:dyDescent="0.3"/>
    <row r="3406" hidden="1" x14ac:dyDescent="0.3"/>
    <row r="3407" hidden="1" x14ac:dyDescent="0.3"/>
    <row r="3408" hidden="1" x14ac:dyDescent="0.3"/>
    <row r="3409" hidden="1" x14ac:dyDescent="0.3"/>
    <row r="3410" hidden="1" x14ac:dyDescent="0.3"/>
    <row r="3411" hidden="1" x14ac:dyDescent="0.3"/>
    <row r="3412" hidden="1" x14ac:dyDescent="0.3"/>
    <row r="3413" hidden="1" x14ac:dyDescent="0.3"/>
    <row r="3414" hidden="1" x14ac:dyDescent="0.3"/>
    <row r="3415" hidden="1" x14ac:dyDescent="0.3"/>
    <row r="3416" hidden="1" x14ac:dyDescent="0.3"/>
    <row r="3417" hidden="1" x14ac:dyDescent="0.3"/>
    <row r="3418" hidden="1" x14ac:dyDescent="0.3"/>
    <row r="3419" hidden="1" x14ac:dyDescent="0.3"/>
    <row r="3420" hidden="1" x14ac:dyDescent="0.3"/>
    <row r="3421" hidden="1" x14ac:dyDescent="0.3"/>
    <row r="3422" hidden="1" x14ac:dyDescent="0.3"/>
    <row r="3423" hidden="1" x14ac:dyDescent="0.3"/>
    <row r="3424" hidden="1" x14ac:dyDescent="0.3"/>
    <row r="3425" hidden="1" x14ac:dyDescent="0.3"/>
    <row r="3426" hidden="1" x14ac:dyDescent="0.3"/>
    <row r="3427" hidden="1" x14ac:dyDescent="0.3"/>
    <row r="3428" hidden="1" x14ac:dyDescent="0.3"/>
    <row r="3429" hidden="1" x14ac:dyDescent="0.3"/>
    <row r="3430" hidden="1" x14ac:dyDescent="0.3"/>
    <row r="3431" hidden="1" x14ac:dyDescent="0.3"/>
    <row r="3432" hidden="1" x14ac:dyDescent="0.3"/>
    <row r="3433" hidden="1" x14ac:dyDescent="0.3"/>
    <row r="3434" hidden="1" x14ac:dyDescent="0.3"/>
    <row r="3435" hidden="1" x14ac:dyDescent="0.3"/>
    <row r="3436" hidden="1" x14ac:dyDescent="0.3"/>
    <row r="3437" hidden="1" x14ac:dyDescent="0.3"/>
    <row r="3438" hidden="1" x14ac:dyDescent="0.3"/>
    <row r="3439" hidden="1" x14ac:dyDescent="0.3"/>
    <row r="3440" hidden="1" x14ac:dyDescent="0.3"/>
    <row r="3441" hidden="1" x14ac:dyDescent="0.3"/>
    <row r="3442" hidden="1" x14ac:dyDescent="0.3"/>
    <row r="3443" hidden="1" x14ac:dyDescent="0.3"/>
    <row r="3444" hidden="1" x14ac:dyDescent="0.3"/>
    <row r="3445" hidden="1" x14ac:dyDescent="0.3"/>
    <row r="3446" hidden="1" x14ac:dyDescent="0.3"/>
    <row r="3447" hidden="1" x14ac:dyDescent="0.3"/>
    <row r="3448" hidden="1" x14ac:dyDescent="0.3"/>
    <row r="3449" hidden="1" x14ac:dyDescent="0.3"/>
    <row r="3450" hidden="1" x14ac:dyDescent="0.3"/>
    <row r="3451" hidden="1" x14ac:dyDescent="0.3"/>
    <row r="3452" hidden="1" x14ac:dyDescent="0.3"/>
    <row r="3453" hidden="1" x14ac:dyDescent="0.3"/>
    <row r="3454" hidden="1" x14ac:dyDescent="0.3"/>
    <row r="3455" hidden="1" x14ac:dyDescent="0.3"/>
    <row r="3456" hidden="1" x14ac:dyDescent="0.3"/>
    <row r="3457" hidden="1" x14ac:dyDescent="0.3"/>
    <row r="3458" hidden="1" x14ac:dyDescent="0.3"/>
    <row r="3459" hidden="1" x14ac:dyDescent="0.3"/>
    <row r="3460" hidden="1" x14ac:dyDescent="0.3"/>
    <row r="3461" hidden="1" x14ac:dyDescent="0.3"/>
    <row r="3462" hidden="1" x14ac:dyDescent="0.3"/>
    <row r="3463" hidden="1" x14ac:dyDescent="0.3"/>
    <row r="3464" hidden="1" x14ac:dyDescent="0.3"/>
    <row r="3465" hidden="1" x14ac:dyDescent="0.3"/>
    <row r="3466" hidden="1" x14ac:dyDescent="0.3"/>
    <row r="3467" hidden="1" x14ac:dyDescent="0.3"/>
    <row r="3468" hidden="1" x14ac:dyDescent="0.3"/>
    <row r="3469" hidden="1" x14ac:dyDescent="0.3"/>
    <row r="3470" hidden="1" x14ac:dyDescent="0.3"/>
    <row r="3471" hidden="1" x14ac:dyDescent="0.3"/>
    <row r="3472" hidden="1" x14ac:dyDescent="0.3"/>
    <row r="3473" hidden="1" x14ac:dyDescent="0.3"/>
    <row r="3474" hidden="1" x14ac:dyDescent="0.3"/>
    <row r="3475" hidden="1" x14ac:dyDescent="0.3"/>
    <row r="3476" hidden="1" x14ac:dyDescent="0.3"/>
    <row r="3477" hidden="1" x14ac:dyDescent="0.3"/>
    <row r="3478" hidden="1" x14ac:dyDescent="0.3"/>
    <row r="3479" hidden="1" x14ac:dyDescent="0.3"/>
    <row r="3480" hidden="1" x14ac:dyDescent="0.3"/>
    <row r="3481" hidden="1" x14ac:dyDescent="0.3"/>
    <row r="3482" hidden="1" x14ac:dyDescent="0.3"/>
    <row r="3483" hidden="1" x14ac:dyDescent="0.3"/>
    <row r="3484" hidden="1" x14ac:dyDescent="0.3"/>
    <row r="3485" hidden="1" x14ac:dyDescent="0.3"/>
    <row r="3486" hidden="1" x14ac:dyDescent="0.3"/>
    <row r="3487" hidden="1" x14ac:dyDescent="0.3"/>
    <row r="3488" hidden="1" x14ac:dyDescent="0.3"/>
    <row r="3489" hidden="1" x14ac:dyDescent="0.3"/>
    <row r="3490" hidden="1" x14ac:dyDescent="0.3"/>
    <row r="3491" hidden="1" x14ac:dyDescent="0.3"/>
    <row r="3492" hidden="1" x14ac:dyDescent="0.3"/>
    <row r="3493" hidden="1" x14ac:dyDescent="0.3"/>
    <row r="3494" hidden="1" x14ac:dyDescent="0.3"/>
    <row r="3495" hidden="1" x14ac:dyDescent="0.3"/>
    <row r="3496" hidden="1" x14ac:dyDescent="0.3"/>
    <row r="3497" hidden="1" x14ac:dyDescent="0.3"/>
    <row r="3498" hidden="1" x14ac:dyDescent="0.3"/>
    <row r="3499" hidden="1" x14ac:dyDescent="0.3"/>
    <row r="3500" hidden="1" x14ac:dyDescent="0.3"/>
    <row r="3501" hidden="1" x14ac:dyDescent="0.3"/>
    <row r="3502" hidden="1" x14ac:dyDescent="0.3"/>
    <row r="3503" hidden="1" x14ac:dyDescent="0.3"/>
    <row r="3504" hidden="1" x14ac:dyDescent="0.3"/>
    <row r="3505" hidden="1" x14ac:dyDescent="0.3"/>
    <row r="3506" hidden="1" x14ac:dyDescent="0.3"/>
    <row r="3507" hidden="1" x14ac:dyDescent="0.3"/>
    <row r="3508" hidden="1" x14ac:dyDescent="0.3"/>
    <row r="3509" hidden="1" x14ac:dyDescent="0.3"/>
    <row r="3510" hidden="1" x14ac:dyDescent="0.3"/>
    <row r="3511" hidden="1" x14ac:dyDescent="0.3"/>
    <row r="3512" hidden="1" x14ac:dyDescent="0.3"/>
    <row r="3513" hidden="1" x14ac:dyDescent="0.3"/>
    <row r="3514" hidden="1" x14ac:dyDescent="0.3"/>
    <row r="3515" hidden="1" x14ac:dyDescent="0.3"/>
    <row r="3516" hidden="1" x14ac:dyDescent="0.3"/>
    <row r="3517" hidden="1" x14ac:dyDescent="0.3"/>
    <row r="3518" hidden="1" x14ac:dyDescent="0.3"/>
    <row r="3519" hidden="1" x14ac:dyDescent="0.3"/>
    <row r="3520" hidden="1" x14ac:dyDescent="0.3"/>
    <row r="3521" hidden="1" x14ac:dyDescent="0.3"/>
    <row r="3522" hidden="1" x14ac:dyDescent="0.3"/>
    <row r="3523" hidden="1" x14ac:dyDescent="0.3"/>
    <row r="3524" hidden="1" x14ac:dyDescent="0.3"/>
    <row r="3525" hidden="1" x14ac:dyDescent="0.3"/>
    <row r="3526" hidden="1" x14ac:dyDescent="0.3"/>
    <row r="3527" hidden="1" x14ac:dyDescent="0.3"/>
    <row r="3528" hidden="1" x14ac:dyDescent="0.3"/>
    <row r="3529" hidden="1" x14ac:dyDescent="0.3"/>
    <row r="3530" hidden="1" x14ac:dyDescent="0.3"/>
    <row r="3531" hidden="1" x14ac:dyDescent="0.3"/>
    <row r="3532" hidden="1" x14ac:dyDescent="0.3"/>
    <row r="3533" hidden="1" x14ac:dyDescent="0.3"/>
    <row r="3534" hidden="1" x14ac:dyDescent="0.3"/>
    <row r="3535" hidden="1" x14ac:dyDescent="0.3"/>
    <row r="3536" hidden="1" x14ac:dyDescent="0.3"/>
    <row r="3537" hidden="1" x14ac:dyDescent="0.3"/>
    <row r="3538" hidden="1" x14ac:dyDescent="0.3"/>
    <row r="3539" hidden="1" x14ac:dyDescent="0.3"/>
    <row r="3540" hidden="1" x14ac:dyDescent="0.3"/>
    <row r="3541" hidden="1" x14ac:dyDescent="0.3"/>
    <row r="3542" hidden="1" x14ac:dyDescent="0.3"/>
    <row r="3543" hidden="1" x14ac:dyDescent="0.3"/>
    <row r="3544" hidden="1" x14ac:dyDescent="0.3"/>
    <row r="3545" hidden="1" x14ac:dyDescent="0.3"/>
    <row r="3546" hidden="1" x14ac:dyDescent="0.3"/>
    <row r="3547" hidden="1" x14ac:dyDescent="0.3"/>
    <row r="3548" hidden="1" x14ac:dyDescent="0.3"/>
    <row r="3549" hidden="1" x14ac:dyDescent="0.3"/>
    <row r="3550" hidden="1" x14ac:dyDescent="0.3"/>
    <row r="3551" hidden="1" x14ac:dyDescent="0.3"/>
    <row r="3552" hidden="1" x14ac:dyDescent="0.3"/>
    <row r="3553" hidden="1" x14ac:dyDescent="0.3"/>
    <row r="3554" hidden="1" x14ac:dyDescent="0.3"/>
    <row r="3555" hidden="1" x14ac:dyDescent="0.3"/>
    <row r="3556" hidden="1" x14ac:dyDescent="0.3"/>
    <row r="3557" hidden="1" x14ac:dyDescent="0.3"/>
    <row r="3558" hidden="1" x14ac:dyDescent="0.3"/>
    <row r="3559" hidden="1" x14ac:dyDescent="0.3"/>
    <row r="3560" hidden="1" x14ac:dyDescent="0.3"/>
    <row r="3561" hidden="1" x14ac:dyDescent="0.3"/>
    <row r="3562" hidden="1" x14ac:dyDescent="0.3"/>
    <row r="3563" hidden="1" x14ac:dyDescent="0.3"/>
    <row r="3564" hidden="1" x14ac:dyDescent="0.3"/>
    <row r="3565" hidden="1" x14ac:dyDescent="0.3"/>
    <row r="3566" hidden="1" x14ac:dyDescent="0.3"/>
    <row r="3567" hidden="1" x14ac:dyDescent="0.3"/>
    <row r="3568" hidden="1" x14ac:dyDescent="0.3"/>
    <row r="3569" hidden="1" x14ac:dyDescent="0.3"/>
    <row r="3570" hidden="1" x14ac:dyDescent="0.3"/>
    <row r="3571" hidden="1" x14ac:dyDescent="0.3"/>
    <row r="3572" hidden="1" x14ac:dyDescent="0.3"/>
    <row r="3573" hidden="1" x14ac:dyDescent="0.3"/>
    <row r="3574" hidden="1" x14ac:dyDescent="0.3"/>
    <row r="3575" hidden="1" x14ac:dyDescent="0.3"/>
    <row r="3576" hidden="1" x14ac:dyDescent="0.3"/>
    <row r="3577" hidden="1" x14ac:dyDescent="0.3"/>
    <row r="3578" hidden="1" x14ac:dyDescent="0.3"/>
    <row r="3579" hidden="1" x14ac:dyDescent="0.3"/>
    <row r="3580" hidden="1" x14ac:dyDescent="0.3"/>
    <row r="3581" hidden="1" x14ac:dyDescent="0.3"/>
    <row r="3582" hidden="1" x14ac:dyDescent="0.3"/>
    <row r="3583" hidden="1" x14ac:dyDescent="0.3"/>
    <row r="3584" hidden="1" x14ac:dyDescent="0.3"/>
    <row r="3585" hidden="1" x14ac:dyDescent="0.3"/>
    <row r="3586" hidden="1" x14ac:dyDescent="0.3"/>
    <row r="3587" hidden="1" x14ac:dyDescent="0.3"/>
    <row r="3588" hidden="1" x14ac:dyDescent="0.3"/>
    <row r="3589" hidden="1" x14ac:dyDescent="0.3"/>
    <row r="3590" hidden="1" x14ac:dyDescent="0.3"/>
    <row r="3591" hidden="1" x14ac:dyDescent="0.3"/>
    <row r="3592" hidden="1" x14ac:dyDescent="0.3"/>
    <row r="3593" hidden="1" x14ac:dyDescent="0.3"/>
    <row r="3594" hidden="1" x14ac:dyDescent="0.3"/>
    <row r="3595" hidden="1" x14ac:dyDescent="0.3"/>
    <row r="3596" hidden="1" x14ac:dyDescent="0.3"/>
    <row r="3597" hidden="1" x14ac:dyDescent="0.3"/>
    <row r="3598" hidden="1" x14ac:dyDescent="0.3"/>
    <row r="3599" hidden="1" x14ac:dyDescent="0.3"/>
    <row r="3600" hidden="1" x14ac:dyDescent="0.3"/>
    <row r="3601" hidden="1" x14ac:dyDescent="0.3"/>
    <row r="3602" hidden="1" x14ac:dyDescent="0.3"/>
    <row r="3603" hidden="1" x14ac:dyDescent="0.3"/>
    <row r="3604" hidden="1" x14ac:dyDescent="0.3"/>
    <row r="3605" hidden="1" x14ac:dyDescent="0.3"/>
    <row r="3606" hidden="1" x14ac:dyDescent="0.3"/>
    <row r="3607" hidden="1" x14ac:dyDescent="0.3"/>
    <row r="3608" hidden="1" x14ac:dyDescent="0.3"/>
    <row r="3609" hidden="1" x14ac:dyDescent="0.3"/>
    <row r="3610" hidden="1" x14ac:dyDescent="0.3"/>
    <row r="3611" hidden="1" x14ac:dyDescent="0.3"/>
    <row r="3612" hidden="1" x14ac:dyDescent="0.3"/>
    <row r="3613" hidden="1" x14ac:dyDescent="0.3"/>
    <row r="3614" hidden="1" x14ac:dyDescent="0.3"/>
    <row r="3615" hidden="1" x14ac:dyDescent="0.3"/>
    <row r="3616" hidden="1" x14ac:dyDescent="0.3"/>
    <row r="3617" hidden="1" x14ac:dyDescent="0.3"/>
    <row r="3618" hidden="1" x14ac:dyDescent="0.3"/>
    <row r="3619" hidden="1" x14ac:dyDescent="0.3"/>
    <row r="3620" hidden="1" x14ac:dyDescent="0.3"/>
    <row r="3621" hidden="1" x14ac:dyDescent="0.3"/>
    <row r="3622" hidden="1" x14ac:dyDescent="0.3"/>
    <row r="3623" hidden="1" x14ac:dyDescent="0.3"/>
    <row r="3624" hidden="1" x14ac:dyDescent="0.3"/>
    <row r="3625" hidden="1" x14ac:dyDescent="0.3"/>
    <row r="3626" hidden="1" x14ac:dyDescent="0.3"/>
    <row r="3627" hidden="1" x14ac:dyDescent="0.3"/>
    <row r="3628" hidden="1" x14ac:dyDescent="0.3"/>
    <row r="3629" hidden="1" x14ac:dyDescent="0.3"/>
    <row r="3630" hidden="1" x14ac:dyDescent="0.3"/>
    <row r="3631" hidden="1" x14ac:dyDescent="0.3"/>
    <row r="3632" hidden="1" x14ac:dyDescent="0.3"/>
    <row r="3633" hidden="1" x14ac:dyDescent="0.3"/>
    <row r="3634" hidden="1" x14ac:dyDescent="0.3"/>
    <row r="3635" hidden="1" x14ac:dyDescent="0.3"/>
    <row r="3636" hidden="1" x14ac:dyDescent="0.3"/>
    <row r="3637" hidden="1" x14ac:dyDescent="0.3"/>
    <row r="3638" hidden="1" x14ac:dyDescent="0.3"/>
    <row r="3639" hidden="1" x14ac:dyDescent="0.3"/>
    <row r="3640" hidden="1" x14ac:dyDescent="0.3"/>
    <row r="3641" hidden="1" x14ac:dyDescent="0.3"/>
    <row r="3642" hidden="1" x14ac:dyDescent="0.3"/>
    <row r="3643" hidden="1" x14ac:dyDescent="0.3"/>
    <row r="3644" hidden="1" x14ac:dyDescent="0.3"/>
    <row r="3645" hidden="1" x14ac:dyDescent="0.3"/>
    <row r="3646" hidden="1" x14ac:dyDescent="0.3"/>
    <row r="3647" hidden="1" x14ac:dyDescent="0.3"/>
    <row r="3648" hidden="1" x14ac:dyDescent="0.3"/>
    <row r="3649" hidden="1" x14ac:dyDescent="0.3"/>
    <row r="3650" hidden="1" x14ac:dyDescent="0.3"/>
    <row r="3651" hidden="1" x14ac:dyDescent="0.3"/>
    <row r="3652" hidden="1" x14ac:dyDescent="0.3"/>
    <row r="3653" hidden="1" x14ac:dyDescent="0.3"/>
    <row r="3654" hidden="1" x14ac:dyDescent="0.3"/>
    <row r="3655" hidden="1" x14ac:dyDescent="0.3"/>
    <row r="3656" hidden="1" x14ac:dyDescent="0.3"/>
    <row r="3657" hidden="1" x14ac:dyDescent="0.3"/>
    <row r="3658" hidden="1" x14ac:dyDescent="0.3"/>
    <row r="3659" hidden="1" x14ac:dyDescent="0.3"/>
    <row r="3660" hidden="1" x14ac:dyDescent="0.3"/>
    <row r="3661" hidden="1" x14ac:dyDescent="0.3"/>
    <row r="3662" hidden="1" x14ac:dyDescent="0.3"/>
    <row r="3663" hidden="1" x14ac:dyDescent="0.3"/>
    <row r="3664" hidden="1" x14ac:dyDescent="0.3"/>
    <row r="3665" hidden="1" x14ac:dyDescent="0.3"/>
    <row r="3666" hidden="1" x14ac:dyDescent="0.3"/>
    <row r="3667" hidden="1" x14ac:dyDescent="0.3"/>
    <row r="3668" hidden="1" x14ac:dyDescent="0.3"/>
    <row r="3669" hidden="1" x14ac:dyDescent="0.3"/>
    <row r="3670" hidden="1" x14ac:dyDescent="0.3"/>
    <row r="3671" hidden="1" x14ac:dyDescent="0.3"/>
    <row r="3672" hidden="1" x14ac:dyDescent="0.3"/>
    <row r="3673" hidden="1" x14ac:dyDescent="0.3"/>
    <row r="3674" hidden="1" x14ac:dyDescent="0.3"/>
    <row r="3675" hidden="1" x14ac:dyDescent="0.3"/>
    <row r="3676" hidden="1" x14ac:dyDescent="0.3"/>
    <row r="3677" hidden="1" x14ac:dyDescent="0.3"/>
    <row r="3678" hidden="1" x14ac:dyDescent="0.3"/>
    <row r="3679" hidden="1" x14ac:dyDescent="0.3"/>
    <row r="3680" hidden="1" x14ac:dyDescent="0.3"/>
    <row r="3681" hidden="1" x14ac:dyDescent="0.3"/>
    <row r="3682" hidden="1" x14ac:dyDescent="0.3"/>
    <row r="3683" hidden="1" x14ac:dyDescent="0.3"/>
    <row r="3684" hidden="1" x14ac:dyDescent="0.3"/>
    <row r="3685" hidden="1" x14ac:dyDescent="0.3"/>
    <row r="3686" hidden="1" x14ac:dyDescent="0.3"/>
    <row r="3687" hidden="1" x14ac:dyDescent="0.3"/>
    <row r="3688" hidden="1" x14ac:dyDescent="0.3"/>
    <row r="3689" hidden="1" x14ac:dyDescent="0.3"/>
    <row r="3690" hidden="1" x14ac:dyDescent="0.3"/>
    <row r="3691" hidden="1" x14ac:dyDescent="0.3"/>
    <row r="3692" hidden="1" x14ac:dyDescent="0.3"/>
    <row r="3693" hidden="1" x14ac:dyDescent="0.3"/>
    <row r="3694" hidden="1" x14ac:dyDescent="0.3"/>
    <row r="3695" hidden="1" x14ac:dyDescent="0.3"/>
    <row r="3696" hidden="1" x14ac:dyDescent="0.3"/>
    <row r="3697" hidden="1" x14ac:dyDescent="0.3"/>
    <row r="3698" hidden="1" x14ac:dyDescent="0.3"/>
    <row r="3699" hidden="1" x14ac:dyDescent="0.3"/>
    <row r="3700" hidden="1" x14ac:dyDescent="0.3"/>
    <row r="3701" hidden="1" x14ac:dyDescent="0.3"/>
    <row r="3702" hidden="1" x14ac:dyDescent="0.3"/>
    <row r="3703" hidden="1" x14ac:dyDescent="0.3"/>
    <row r="3704" hidden="1" x14ac:dyDescent="0.3"/>
    <row r="3705" hidden="1" x14ac:dyDescent="0.3"/>
    <row r="3706" hidden="1" x14ac:dyDescent="0.3"/>
    <row r="3707" hidden="1" x14ac:dyDescent="0.3"/>
    <row r="3708" hidden="1" x14ac:dyDescent="0.3"/>
    <row r="3709" hidden="1" x14ac:dyDescent="0.3"/>
    <row r="3710" hidden="1" x14ac:dyDescent="0.3"/>
    <row r="3711" hidden="1" x14ac:dyDescent="0.3"/>
    <row r="3712" hidden="1" x14ac:dyDescent="0.3"/>
    <row r="3713" hidden="1" x14ac:dyDescent="0.3"/>
    <row r="3714" hidden="1" x14ac:dyDescent="0.3"/>
    <row r="3715" hidden="1" x14ac:dyDescent="0.3"/>
    <row r="3716" hidden="1" x14ac:dyDescent="0.3"/>
    <row r="3717" hidden="1" x14ac:dyDescent="0.3"/>
    <row r="3718" hidden="1" x14ac:dyDescent="0.3"/>
    <row r="3719" hidden="1" x14ac:dyDescent="0.3"/>
    <row r="3720" hidden="1" x14ac:dyDescent="0.3"/>
    <row r="3721" hidden="1" x14ac:dyDescent="0.3"/>
    <row r="3722" hidden="1" x14ac:dyDescent="0.3"/>
    <row r="3723" hidden="1" x14ac:dyDescent="0.3"/>
    <row r="3724" hidden="1" x14ac:dyDescent="0.3"/>
    <row r="3725" hidden="1" x14ac:dyDescent="0.3"/>
    <row r="3726" hidden="1" x14ac:dyDescent="0.3"/>
    <row r="3727" hidden="1" x14ac:dyDescent="0.3"/>
    <row r="3728" hidden="1" x14ac:dyDescent="0.3"/>
    <row r="3729" hidden="1" x14ac:dyDescent="0.3"/>
    <row r="3730" hidden="1" x14ac:dyDescent="0.3"/>
    <row r="3731" hidden="1" x14ac:dyDescent="0.3"/>
    <row r="3732" hidden="1" x14ac:dyDescent="0.3"/>
    <row r="3733" hidden="1" x14ac:dyDescent="0.3"/>
    <row r="3734" hidden="1" x14ac:dyDescent="0.3"/>
    <row r="3735" hidden="1" x14ac:dyDescent="0.3"/>
    <row r="3736" hidden="1" x14ac:dyDescent="0.3"/>
    <row r="3737" hidden="1" x14ac:dyDescent="0.3"/>
    <row r="3738" hidden="1" x14ac:dyDescent="0.3"/>
    <row r="3739" hidden="1" x14ac:dyDescent="0.3"/>
    <row r="3740" hidden="1" x14ac:dyDescent="0.3"/>
    <row r="3741" hidden="1" x14ac:dyDescent="0.3"/>
    <row r="3742" hidden="1" x14ac:dyDescent="0.3"/>
    <row r="3743" hidden="1" x14ac:dyDescent="0.3"/>
    <row r="3744" hidden="1" x14ac:dyDescent="0.3"/>
    <row r="3745" hidden="1" x14ac:dyDescent="0.3"/>
    <row r="3746" hidden="1" x14ac:dyDescent="0.3"/>
    <row r="3747" hidden="1" x14ac:dyDescent="0.3"/>
    <row r="3748" hidden="1" x14ac:dyDescent="0.3"/>
    <row r="3749" hidden="1" x14ac:dyDescent="0.3"/>
    <row r="3750" hidden="1" x14ac:dyDescent="0.3"/>
    <row r="3751" hidden="1" x14ac:dyDescent="0.3"/>
    <row r="3752" hidden="1" x14ac:dyDescent="0.3"/>
    <row r="3753" hidden="1" x14ac:dyDescent="0.3"/>
    <row r="3754" hidden="1" x14ac:dyDescent="0.3"/>
    <row r="3755" hidden="1" x14ac:dyDescent="0.3"/>
    <row r="3756" hidden="1" x14ac:dyDescent="0.3"/>
    <row r="3757" hidden="1" x14ac:dyDescent="0.3"/>
    <row r="3758" hidden="1" x14ac:dyDescent="0.3"/>
    <row r="3759" hidden="1" x14ac:dyDescent="0.3"/>
    <row r="3760" hidden="1" x14ac:dyDescent="0.3"/>
    <row r="3761" hidden="1" x14ac:dyDescent="0.3"/>
    <row r="3762" hidden="1" x14ac:dyDescent="0.3"/>
    <row r="3763" hidden="1" x14ac:dyDescent="0.3"/>
    <row r="3764" hidden="1" x14ac:dyDescent="0.3"/>
    <row r="3765" hidden="1" x14ac:dyDescent="0.3"/>
    <row r="3766" hidden="1" x14ac:dyDescent="0.3"/>
    <row r="3767" hidden="1" x14ac:dyDescent="0.3"/>
    <row r="3768" hidden="1" x14ac:dyDescent="0.3"/>
    <row r="3769" hidden="1" x14ac:dyDescent="0.3"/>
    <row r="3770" hidden="1" x14ac:dyDescent="0.3"/>
    <row r="3771" hidden="1" x14ac:dyDescent="0.3"/>
    <row r="3772" hidden="1" x14ac:dyDescent="0.3"/>
    <row r="3773" hidden="1" x14ac:dyDescent="0.3"/>
    <row r="3774" hidden="1" x14ac:dyDescent="0.3"/>
    <row r="3775" hidden="1" x14ac:dyDescent="0.3"/>
    <row r="3776" hidden="1" x14ac:dyDescent="0.3"/>
    <row r="3777" hidden="1" x14ac:dyDescent="0.3"/>
    <row r="3778" hidden="1" x14ac:dyDescent="0.3"/>
    <row r="3779" hidden="1" x14ac:dyDescent="0.3"/>
    <row r="3780" hidden="1" x14ac:dyDescent="0.3"/>
    <row r="3781" hidden="1" x14ac:dyDescent="0.3"/>
    <row r="3782" hidden="1" x14ac:dyDescent="0.3"/>
    <row r="3783" hidden="1" x14ac:dyDescent="0.3"/>
    <row r="3784" hidden="1" x14ac:dyDescent="0.3"/>
    <row r="3785" hidden="1" x14ac:dyDescent="0.3"/>
    <row r="3786" hidden="1" x14ac:dyDescent="0.3"/>
    <row r="3787" hidden="1" x14ac:dyDescent="0.3"/>
    <row r="3788" hidden="1" x14ac:dyDescent="0.3"/>
    <row r="3789" hidden="1" x14ac:dyDescent="0.3"/>
    <row r="3790" hidden="1" x14ac:dyDescent="0.3"/>
    <row r="3791" hidden="1" x14ac:dyDescent="0.3"/>
    <row r="3792" hidden="1" x14ac:dyDescent="0.3"/>
    <row r="3793" hidden="1" x14ac:dyDescent="0.3"/>
    <row r="3794" hidden="1" x14ac:dyDescent="0.3"/>
    <row r="3795" hidden="1" x14ac:dyDescent="0.3"/>
    <row r="3796" hidden="1" x14ac:dyDescent="0.3"/>
    <row r="3797" hidden="1" x14ac:dyDescent="0.3"/>
    <row r="3798" hidden="1" x14ac:dyDescent="0.3"/>
    <row r="3799" hidden="1" x14ac:dyDescent="0.3"/>
    <row r="3800" hidden="1" x14ac:dyDescent="0.3"/>
    <row r="3801" hidden="1" x14ac:dyDescent="0.3"/>
    <row r="3802" hidden="1" x14ac:dyDescent="0.3"/>
    <row r="3803" hidden="1" x14ac:dyDescent="0.3"/>
    <row r="3804" hidden="1" x14ac:dyDescent="0.3"/>
    <row r="3805" hidden="1" x14ac:dyDescent="0.3"/>
    <row r="3806" hidden="1" x14ac:dyDescent="0.3"/>
    <row r="3807" hidden="1" x14ac:dyDescent="0.3"/>
    <row r="3808" hidden="1" x14ac:dyDescent="0.3"/>
    <row r="3809" hidden="1" x14ac:dyDescent="0.3"/>
    <row r="3810" hidden="1" x14ac:dyDescent="0.3"/>
    <row r="3811" hidden="1" x14ac:dyDescent="0.3"/>
    <row r="3812" hidden="1" x14ac:dyDescent="0.3"/>
    <row r="3813" hidden="1" x14ac:dyDescent="0.3"/>
    <row r="3814" hidden="1" x14ac:dyDescent="0.3"/>
    <row r="3815" hidden="1" x14ac:dyDescent="0.3"/>
    <row r="3816" hidden="1" x14ac:dyDescent="0.3"/>
    <row r="3817" hidden="1" x14ac:dyDescent="0.3"/>
    <row r="3818" hidden="1" x14ac:dyDescent="0.3"/>
    <row r="3819" hidden="1" x14ac:dyDescent="0.3"/>
    <row r="3820" hidden="1" x14ac:dyDescent="0.3"/>
    <row r="3821" hidden="1" x14ac:dyDescent="0.3"/>
    <row r="3822" hidden="1" x14ac:dyDescent="0.3"/>
    <row r="3823" hidden="1" x14ac:dyDescent="0.3"/>
    <row r="3824" hidden="1" x14ac:dyDescent="0.3"/>
    <row r="3825" hidden="1" x14ac:dyDescent="0.3"/>
    <row r="3826" hidden="1" x14ac:dyDescent="0.3"/>
    <row r="3827" hidden="1" x14ac:dyDescent="0.3"/>
    <row r="3828" hidden="1" x14ac:dyDescent="0.3"/>
    <row r="3829" hidden="1" x14ac:dyDescent="0.3"/>
    <row r="3830" hidden="1" x14ac:dyDescent="0.3"/>
    <row r="3831" hidden="1" x14ac:dyDescent="0.3"/>
    <row r="3832" hidden="1" x14ac:dyDescent="0.3"/>
    <row r="3833" hidden="1" x14ac:dyDescent="0.3"/>
    <row r="3834" hidden="1" x14ac:dyDescent="0.3"/>
    <row r="3835" hidden="1" x14ac:dyDescent="0.3"/>
    <row r="3836" hidden="1" x14ac:dyDescent="0.3"/>
    <row r="3837" hidden="1" x14ac:dyDescent="0.3"/>
    <row r="3838" hidden="1" x14ac:dyDescent="0.3"/>
    <row r="3839" hidden="1" x14ac:dyDescent="0.3"/>
    <row r="3840" hidden="1" x14ac:dyDescent="0.3"/>
    <row r="3841" hidden="1" x14ac:dyDescent="0.3"/>
    <row r="3842" hidden="1" x14ac:dyDescent="0.3"/>
    <row r="3843" hidden="1" x14ac:dyDescent="0.3"/>
    <row r="3844" hidden="1" x14ac:dyDescent="0.3"/>
    <row r="3845" hidden="1" x14ac:dyDescent="0.3"/>
    <row r="3846" hidden="1" x14ac:dyDescent="0.3"/>
    <row r="3847" hidden="1" x14ac:dyDescent="0.3"/>
    <row r="3848" hidden="1" x14ac:dyDescent="0.3"/>
    <row r="3849" hidden="1" x14ac:dyDescent="0.3"/>
    <row r="3850" hidden="1" x14ac:dyDescent="0.3"/>
    <row r="3851" hidden="1" x14ac:dyDescent="0.3"/>
    <row r="3852" hidden="1" x14ac:dyDescent="0.3"/>
    <row r="3853" hidden="1" x14ac:dyDescent="0.3"/>
    <row r="3854" hidden="1" x14ac:dyDescent="0.3"/>
    <row r="3855" hidden="1" x14ac:dyDescent="0.3"/>
    <row r="3856" hidden="1" x14ac:dyDescent="0.3"/>
    <row r="3857" hidden="1" x14ac:dyDescent="0.3"/>
    <row r="3858" hidden="1" x14ac:dyDescent="0.3"/>
    <row r="3859" hidden="1" x14ac:dyDescent="0.3"/>
    <row r="3860" hidden="1" x14ac:dyDescent="0.3"/>
    <row r="3861" hidden="1" x14ac:dyDescent="0.3"/>
    <row r="3862" hidden="1" x14ac:dyDescent="0.3"/>
    <row r="3863" hidden="1" x14ac:dyDescent="0.3"/>
    <row r="3864" hidden="1" x14ac:dyDescent="0.3"/>
    <row r="3865" hidden="1" x14ac:dyDescent="0.3"/>
    <row r="3866" hidden="1" x14ac:dyDescent="0.3"/>
    <row r="3867" hidden="1" x14ac:dyDescent="0.3"/>
    <row r="3868" hidden="1" x14ac:dyDescent="0.3"/>
    <row r="3869" hidden="1" x14ac:dyDescent="0.3"/>
    <row r="3870" hidden="1" x14ac:dyDescent="0.3"/>
    <row r="3871" hidden="1" x14ac:dyDescent="0.3"/>
    <row r="3872" hidden="1" x14ac:dyDescent="0.3"/>
    <row r="3873" hidden="1" x14ac:dyDescent="0.3"/>
    <row r="3874" hidden="1" x14ac:dyDescent="0.3"/>
    <row r="3875" hidden="1" x14ac:dyDescent="0.3"/>
    <row r="3876" hidden="1" x14ac:dyDescent="0.3"/>
    <row r="3877" hidden="1" x14ac:dyDescent="0.3"/>
    <row r="3878" hidden="1" x14ac:dyDescent="0.3"/>
    <row r="3879" hidden="1" x14ac:dyDescent="0.3"/>
    <row r="3880" hidden="1" x14ac:dyDescent="0.3"/>
    <row r="3881" hidden="1" x14ac:dyDescent="0.3"/>
    <row r="3882" hidden="1" x14ac:dyDescent="0.3"/>
    <row r="3883" hidden="1" x14ac:dyDescent="0.3"/>
    <row r="3884" hidden="1" x14ac:dyDescent="0.3"/>
    <row r="3885" hidden="1" x14ac:dyDescent="0.3"/>
    <row r="3886" hidden="1" x14ac:dyDescent="0.3"/>
    <row r="3887" hidden="1" x14ac:dyDescent="0.3"/>
    <row r="3888" hidden="1" x14ac:dyDescent="0.3"/>
    <row r="3889" hidden="1" x14ac:dyDescent="0.3"/>
    <row r="3890" hidden="1" x14ac:dyDescent="0.3"/>
    <row r="3891" hidden="1" x14ac:dyDescent="0.3"/>
    <row r="3892" hidden="1" x14ac:dyDescent="0.3"/>
    <row r="3893" hidden="1" x14ac:dyDescent="0.3"/>
    <row r="3894" hidden="1" x14ac:dyDescent="0.3"/>
    <row r="3895" hidden="1" x14ac:dyDescent="0.3"/>
    <row r="3896" hidden="1" x14ac:dyDescent="0.3"/>
    <row r="3897" hidden="1" x14ac:dyDescent="0.3"/>
    <row r="3898" hidden="1" x14ac:dyDescent="0.3"/>
    <row r="3899" hidden="1" x14ac:dyDescent="0.3"/>
    <row r="3900" hidden="1" x14ac:dyDescent="0.3"/>
    <row r="3901" hidden="1" x14ac:dyDescent="0.3"/>
    <row r="3902" hidden="1" x14ac:dyDescent="0.3"/>
    <row r="3903" hidden="1" x14ac:dyDescent="0.3"/>
    <row r="3904" hidden="1" x14ac:dyDescent="0.3"/>
    <row r="3905" hidden="1" x14ac:dyDescent="0.3"/>
    <row r="3906" hidden="1" x14ac:dyDescent="0.3"/>
    <row r="3907" hidden="1" x14ac:dyDescent="0.3"/>
    <row r="3908" hidden="1" x14ac:dyDescent="0.3"/>
    <row r="3909" hidden="1" x14ac:dyDescent="0.3"/>
    <row r="3910" hidden="1" x14ac:dyDescent="0.3"/>
    <row r="3911" hidden="1" x14ac:dyDescent="0.3"/>
    <row r="3912" hidden="1" x14ac:dyDescent="0.3"/>
    <row r="3913" hidden="1" x14ac:dyDescent="0.3"/>
    <row r="3914" hidden="1" x14ac:dyDescent="0.3"/>
    <row r="3915" hidden="1" x14ac:dyDescent="0.3"/>
    <row r="3916" hidden="1" x14ac:dyDescent="0.3"/>
    <row r="3917" hidden="1" x14ac:dyDescent="0.3"/>
    <row r="3918" hidden="1" x14ac:dyDescent="0.3"/>
    <row r="3919" hidden="1" x14ac:dyDescent="0.3"/>
    <row r="3920" hidden="1" x14ac:dyDescent="0.3"/>
    <row r="3921" hidden="1" x14ac:dyDescent="0.3"/>
    <row r="3922" hidden="1" x14ac:dyDescent="0.3"/>
    <row r="3923" hidden="1" x14ac:dyDescent="0.3"/>
    <row r="3924" hidden="1" x14ac:dyDescent="0.3"/>
    <row r="3925" hidden="1" x14ac:dyDescent="0.3"/>
    <row r="3926" hidden="1" x14ac:dyDescent="0.3"/>
    <row r="3927" hidden="1" x14ac:dyDescent="0.3"/>
    <row r="3928" hidden="1" x14ac:dyDescent="0.3"/>
    <row r="3929" hidden="1" x14ac:dyDescent="0.3"/>
    <row r="3930" hidden="1" x14ac:dyDescent="0.3"/>
    <row r="3931" hidden="1" x14ac:dyDescent="0.3"/>
    <row r="3932" hidden="1" x14ac:dyDescent="0.3"/>
    <row r="3933" hidden="1" x14ac:dyDescent="0.3"/>
    <row r="3934" hidden="1" x14ac:dyDescent="0.3"/>
    <row r="3935" hidden="1" x14ac:dyDescent="0.3"/>
    <row r="3936" hidden="1" x14ac:dyDescent="0.3"/>
    <row r="3937" hidden="1" x14ac:dyDescent="0.3"/>
    <row r="3938" hidden="1" x14ac:dyDescent="0.3"/>
    <row r="3939" hidden="1" x14ac:dyDescent="0.3"/>
    <row r="3940" hidden="1" x14ac:dyDescent="0.3"/>
    <row r="3941" hidden="1" x14ac:dyDescent="0.3"/>
    <row r="3942" hidden="1" x14ac:dyDescent="0.3"/>
    <row r="3943" hidden="1" x14ac:dyDescent="0.3"/>
    <row r="3944" hidden="1" x14ac:dyDescent="0.3"/>
    <row r="3945" hidden="1" x14ac:dyDescent="0.3"/>
    <row r="3946" hidden="1" x14ac:dyDescent="0.3"/>
    <row r="3947" hidden="1" x14ac:dyDescent="0.3"/>
    <row r="3948" hidden="1" x14ac:dyDescent="0.3"/>
    <row r="3949" hidden="1" x14ac:dyDescent="0.3"/>
    <row r="3950" hidden="1" x14ac:dyDescent="0.3"/>
    <row r="3951" hidden="1" x14ac:dyDescent="0.3"/>
    <row r="3952" hidden="1" x14ac:dyDescent="0.3"/>
    <row r="3953" hidden="1" x14ac:dyDescent="0.3"/>
    <row r="3954" hidden="1" x14ac:dyDescent="0.3"/>
    <row r="3955" hidden="1" x14ac:dyDescent="0.3"/>
    <row r="3956" hidden="1" x14ac:dyDescent="0.3"/>
    <row r="3957" hidden="1" x14ac:dyDescent="0.3"/>
    <row r="3958" hidden="1" x14ac:dyDescent="0.3"/>
    <row r="3959" hidden="1" x14ac:dyDescent="0.3"/>
    <row r="3960" hidden="1" x14ac:dyDescent="0.3"/>
    <row r="3961" hidden="1" x14ac:dyDescent="0.3"/>
    <row r="3962" hidden="1" x14ac:dyDescent="0.3"/>
    <row r="3963" hidden="1" x14ac:dyDescent="0.3"/>
    <row r="3964" hidden="1" x14ac:dyDescent="0.3"/>
    <row r="3965" hidden="1" x14ac:dyDescent="0.3"/>
    <row r="3966" hidden="1" x14ac:dyDescent="0.3"/>
    <row r="3967" hidden="1" x14ac:dyDescent="0.3"/>
    <row r="3968" hidden="1" x14ac:dyDescent="0.3"/>
    <row r="3969" hidden="1" x14ac:dyDescent="0.3"/>
    <row r="3970" hidden="1" x14ac:dyDescent="0.3"/>
    <row r="3971" hidden="1" x14ac:dyDescent="0.3"/>
    <row r="3972" hidden="1" x14ac:dyDescent="0.3"/>
    <row r="3973" hidden="1" x14ac:dyDescent="0.3"/>
    <row r="3974" hidden="1" x14ac:dyDescent="0.3"/>
    <row r="3975" hidden="1" x14ac:dyDescent="0.3"/>
    <row r="3976" hidden="1" x14ac:dyDescent="0.3"/>
    <row r="3977" hidden="1" x14ac:dyDescent="0.3"/>
    <row r="3978" hidden="1" x14ac:dyDescent="0.3"/>
    <row r="3979" hidden="1" x14ac:dyDescent="0.3"/>
    <row r="3980" hidden="1" x14ac:dyDescent="0.3"/>
    <row r="3981" hidden="1" x14ac:dyDescent="0.3"/>
    <row r="3982" hidden="1" x14ac:dyDescent="0.3"/>
    <row r="3983" hidden="1" x14ac:dyDescent="0.3"/>
    <row r="3984" hidden="1" x14ac:dyDescent="0.3"/>
    <row r="3985" hidden="1" x14ac:dyDescent="0.3"/>
    <row r="3986" hidden="1" x14ac:dyDescent="0.3"/>
    <row r="3987" hidden="1" x14ac:dyDescent="0.3"/>
    <row r="3988" hidden="1" x14ac:dyDescent="0.3"/>
    <row r="3989" hidden="1" x14ac:dyDescent="0.3"/>
    <row r="3990" hidden="1" x14ac:dyDescent="0.3"/>
    <row r="3991" hidden="1" x14ac:dyDescent="0.3"/>
    <row r="3992" hidden="1" x14ac:dyDescent="0.3"/>
    <row r="3993" hidden="1" x14ac:dyDescent="0.3"/>
    <row r="3994" hidden="1" x14ac:dyDescent="0.3"/>
    <row r="3995" hidden="1" x14ac:dyDescent="0.3"/>
    <row r="3996" hidden="1" x14ac:dyDescent="0.3"/>
    <row r="3997" hidden="1" x14ac:dyDescent="0.3"/>
    <row r="3998" hidden="1" x14ac:dyDescent="0.3"/>
    <row r="3999" hidden="1" x14ac:dyDescent="0.3"/>
    <row r="4000" hidden="1" x14ac:dyDescent="0.3"/>
    <row r="4001" hidden="1" x14ac:dyDescent="0.3"/>
    <row r="4002" hidden="1" x14ac:dyDescent="0.3"/>
    <row r="4003" hidden="1" x14ac:dyDescent="0.3"/>
    <row r="4004" hidden="1" x14ac:dyDescent="0.3"/>
    <row r="4005" hidden="1" x14ac:dyDescent="0.3"/>
    <row r="4006" hidden="1" x14ac:dyDescent="0.3"/>
    <row r="4007" hidden="1" x14ac:dyDescent="0.3"/>
    <row r="4008" hidden="1" x14ac:dyDescent="0.3"/>
    <row r="4009" hidden="1" x14ac:dyDescent="0.3"/>
    <row r="4010" hidden="1" x14ac:dyDescent="0.3"/>
    <row r="4011" hidden="1" x14ac:dyDescent="0.3"/>
    <row r="4012" hidden="1" x14ac:dyDescent="0.3"/>
    <row r="4013" hidden="1" x14ac:dyDescent="0.3"/>
    <row r="4014" hidden="1" x14ac:dyDescent="0.3"/>
    <row r="4015" hidden="1" x14ac:dyDescent="0.3"/>
    <row r="4016" hidden="1" x14ac:dyDescent="0.3"/>
    <row r="4017" hidden="1" x14ac:dyDescent="0.3"/>
    <row r="4018" hidden="1" x14ac:dyDescent="0.3"/>
    <row r="4019" hidden="1" x14ac:dyDescent="0.3"/>
    <row r="4020" hidden="1" x14ac:dyDescent="0.3"/>
    <row r="4021" hidden="1" x14ac:dyDescent="0.3"/>
    <row r="4022" hidden="1" x14ac:dyDescent="0.3"/>
    <row r="4023" hidden="1" x14ac:dyDescent="0.3"/>
    <row r="4024" hidden="1" x14ac:dyDescent="0.3"/>
    <row r="4025" hidden="1" x14ac:dyDescent="0.3"/>
    <row r="4026" hidden="1" x14ac:dyDescent="0.3"/>
    <row r="4027" hidden="1" x14ac:dyDescent="0.3"/>
    <row r="4028" hidden="1" x14ac:dyDescent="0.3"/>
    <row r="4029" hidden="1" x14ac:dyDescent="0.3"/>
    <row r="4030" hidden="1" x14ac:dyDescent="0.3"/>
    <row r="4031" hidden="1" x14ac:dyDescent="0.3"/>
    <row r="4032" hidden="1" x14ac:dyDescent="0.3"/>
    <row r="4033" hidden="1" x14ac:dyDescent="0.3"/>
    <row r="4034" hidden="1" x14ac:dyDescent="0.3"/>
    <row r="4035" hidden="1" x14ac:dyDescent="0.3"/>
    <row r="4036" hidden="1" x14ac:dyDescent="0.3"/>
    <row r="4037" hidden="1" x14ac:dyDescent="0.3"/>
    <row r="4038" hidden="1" x14ac:dyDescent="0.3"/>
    <row r="4039" hidden="1" x14ac:dyDescent="0.3"/>
    <row r="4040" hidden="1" x14ac:dyDescent="0.3"/>
    <row r="4041" hidden="1" x14ac:dyDescent="0.3"/>
    <row r="4042" hidden="1" x14ac:dyDescent="0.3"/>
    <row r="4043" hidden="1" x14ac:dyDescent="0.3"/>
    <row r="4044" hidden="1" x14ac:dyDescent="0.3"/>
    <row r="4045" hidden="1" x14ac:dyDescent="0.3"/>
    <row r="4046" hidden="1" x14ac:dyDescent="0.3"/>
    <row r="4047" hidden="1" x14ac:dyDescent="0.3"/>
    <row r="4048" hidden="1" x14ac:dyDescent="0.3"/>
    <row r="4049" hidden="1" x14ac:dyDescent="0.3"/>
    <row r="4050" hidden="1" x14ac:dyDescent="0.3"/>
    <row r="4051" hidden="1" x14ac:dyDescent="0.3"/>
    <row r="4052" hidden="1" x14ac:dyDescent="0.3"/>
    <row r="4053" hidden="1" x14ac:dyDescent="0.3"/>
    <row r="4054" hidden="1" x14ac:dyDescent="0.3"/>
    <row r="4055" hidden="1" x14ac:dyDescent="0.3"/>
    <row r="4056" hidden="1" x14ac:dyDescent="0.3"/>
    <row r="4057" hidden="1" x14ac:dyDescent="0.3"/>
    <row r="4058" hidden="1" x14ac:dyDescent="0.3"/>
    <row r="4059" hidden="1" x14ac:dyDescent="0.3"/>
    <row r="4060" hidden="1" x14ac:dyDescent="0.3"/>
    <row r="4061" hidden="1" x14ac:dyDescent="0.3"/>
    <row r="4062" hidden="1" x14ac:dyDescent="0.3"/>
    <row r="4063" hidden="1" x14ac:dyDescent="0.3"/>
    <row r="4064" hidden="1" x14ac:dyDescent="0.3"/>
    <row r="4065" hidden="1" x14ac:dyDescent="0.3"/>
    <row r="4066" hidden="1" x14ac:dyDescent="0.3"/>
    <row r="4067" hidden="1" x14ac:dyDescent="0.3"/>
    <row r="4068" hidden="1" x14ac:dyDescent="0.3"/>
    <row r="4069" hidden="1" x14ac:dyDescent="0.3"/>
    <row r="4070" hidden="1" x14ac:dyDescent="0.3"/>
    <row r="4071" hidden="1" x14ac:dyDescent="0.3"/>
    <row r="4072" hidden="1" x14ac:dyDescent="0.3"/>
    <row r="4073" hidden="1" x14ac:dyDescent="0.3"/>
    <row r="4074" hidden="1" x14ac:dyDescent="0.3"/>
    <row r="4075" hidden="1" x14ac:dyDescent="0.3"/>
    <row r="4076" hidden="1" x14ac:dyDescent="0.3"/>
    <row r="4077" hidden="1" x14ac:dyDescent="0.3"/>
    <row r="4078" hidden="1" x14ac:dyDescent="0.3"/>
    <row r="4079" hidden="1" x14ac:dyDescent="0.3"/>
    <row r="4080" hidden="1" x14ac:dyDescent="0.3"/>
    <row r="4081" hidden="1" x14ac:dyDescent="0.3"/>
    <row r="4082" hidden="1" x14ac:dyDescent="0.3"/>
    <row r="4083" hidden="1" x14ac:dyDescent="0.3"/>
    <row r="4084" hidden="1" x14ac:dyDescent="0.3"/>
    <row r="4085" hidden="1" x14ac:dyDescent="0.3"/>
    <row r="4086" hidden="1" x14ac:dyDescent="0.3"/>
    <row r="4087" hidden="1" x14ac:dyDescent="0.3"/>
    <row r="4088" hidden="1" x14ac:dyDescent="0.3"/>
    <row r="4089" hidden="1" x14ac:dyDescent="0.3"/>
    <row r="4090" hidden="1" x14ac:dyDescent="0.3"/>
    <row r="4091" hidden="1" x14ac:dyDescent="0.3"/>
    <row r="4092" hidden="1" x14ac:dyDescent="0.3"/>
    <row r="4093" hidden="1" x14ac:dyDescent="0.3"/>
    <row r="4094" hidden="1" x14ac:dyDescent="0.3"/>
    <row r="4095" hidden="1" x14ac:dyDescent="0.3"/>
    <row r="4096" hidden="1" x14ac:dyDescent="0.3"/>
    <row r="4097" hidden="1" x14ac:dyDescent="0.3"/>
    <row r="4098" hidden="1" x14ac:dyDescent="0.3"/>
    <row r="4099" hidden="1" x14ac:dyDescent="0.3"/>
    <row r="4100" hidden="1" x14ac:dyDescent="0.3"/>
    <row r="4101" hidden="1" x14ac:dyDescent="0.3"/>
    <row r="4102" hidden="1" x14ac:dyDescent="0.3"/>
    <row r="4103" hidden="1" x14ac:dyDescent="0.3"/>
    <row r="4104" hidden="1" x14ac:dyDescent="0.3"/>
    <row r="4105" hidden="1" x14ac:dyDescent="0.3"/>
    <row r="4106" hidden="1" x14ac:dyDescent="0.3"/>
    <row r="4107" hidden="1" x14ac:dyDescent="0.3"/>
    <row r="4108" hidden="1" x14ac:dyDescent="0.3"/>
    <row r="4109" hidden="1" x14ac:dyDescent="0.3"/>
    <row r="4110" hidden="1" x14ac:dyDescent="0.3"/>
    <row r="4111" hidden="1" x14ac:dyDescent="0.3"/>
    <row r="4112" hidden="1" x14ac:dyDescent="0.3"/>
    <row r="4113" hidden="1" x14ac:dyDescent="0.3"/>
    <row r="4114" hidden="1" x14ac:dyDescent="0.3"/>
    <row r="4115" hidden="1" x14ac:dyDescent="0.3"/>
    <row r="4116" hidden="1" x14ac:dyDescent="0.3"/>
    <row r="4117" hidden="1" x14ac:dyDescent="0.3"/>
    <row r="4118" hidden="1" x14ac:dyDescent="0.3"/>
    <row r="4119" hidden="1" x14ac:dyDescent="0.3"/>
    <row r="4120" hidden="1" x14ac:dyDescent="0.3"/>
    <row r="4121" hidden="1" x14ac:dyDescent="0.3"/>
    <row r="4122" hidden="1" x14ac:dyDescent="0.3"/>
    <row r="4123" hidden="1" x14ac:dyDescent="0.3"/>
    <row r="4124" hidden="1" x14ac:dyDescent="0.3"/>
    <row r="4125" hidden="1" x14ac:dyDescent="0.3"/>
    <row r="4126" hidden="1" x14ac:dyDescent="0.3"/>
    <row r="4127" hidden="1" x14ac:dyDescent="0.3"/>
    <row r="4128" hidden="1" x14ac:dyDescent="0.3"/>
    <row r="4129" hidden="1" x14ac:dyDescent="0.3"/>
    <row r="4130" hidden="1" x14ac:dyDescent="0.3"/>
    <row r="4131" hidden="1" x14ac:dyDescent="0.3"/>
    <row r="4132" hidden="1" x14ac:dyDescent="0.3"/>
    <row r="4133" hidden="1" x14ac:dyDescent="0.3"/>
    <row r="4134" hidden="1" x14ac:dyDescent="0.3"/>
    <row r="4135" hidden="1" x14ac:dyDescent="0.3"/>
    <row r="4136" hidden="1" x14ac:dyDescent="0.3"/>
    <row r="4137" hidden="1" x14ac:dyDescent="0.3"/>
    <row r="4138" hidden="1" x14ac:dyDescent="0.3"/>
    <row r="4139" hidden="1" x14ac:dyDescent="0.3"/>
    <row r="4140" hidden="1" x14ac:dyDescent="0.3"/>
    <row r="4141" hidden="1" x14ac:dyDescent="0.3"/>
    <row r="4142" hidden="1" x14ac:dyDescent="0.3"/>
    <row r="4143" hidden="1" x14ac:dyDescent="0.3"/>
    <row r="4144" hidden="1" x14ac:dyDescent="0.3"/>
    <row r="4145" hidden="1" x14ac:dyDescent="0.3"/>
    <row r="4146" hidden="1" x14ac:dyDescent="0.3"/>
    <row r="4147" hidden="1" x14ac:dyDescent="0.3"/>
    <row r="4148" hidden="1" x14ac:dyDescent="0.3"/>
    <row r="4149" hidden="1" x14ac:dyDescent="0.3"/>
    <row r="4150" hidden="1" x14ac:dyDescent="0.3"/>
    <row r="4151" hidden="1" x14ac:dyDescent="0.3"/>
    <row r="4152" hidden="1" x14ac:dyDescent="0.3"/>
    <row r="4153" hidden="1" x14ac:dyDescent="0.3"/>
    <row r="4154" hidden="1" x14ac:dyDescent="0.3"/>
    <row r="4155" hidden="1" x14ac:dyDescent="0.3"/>
    <row r="4156" hidden="1" x14ac:dyDescent="0.3"/>
    <row r="4157" hidden="1" x14ac:dyDescent="0.3"/>
    <row r="4158" hidden="1" x14ac:dyDescent="0.3"/>
    <row r="4159" hidden="1" x14ac:dyDescent="0.3"/>
    <row r="4160" hidden="1" x14ac:dyDescent="0.3"/>
    <row r="4161" hidden="1" x14ac:dyDescent="0.3"/>
    <row r="4162" hidden="1" x14ac:dyDescent="0.3"/>
    <row r="4163" hidden="1" x14ac:dyDescent="0.3"/>
    <row r="4164" hidden="1" x14ac:dyDescent="0.3"/>
    <row r="4165" hidden="1" x14ac:dyDescent="0.3"/>
    <row r="4166" hidden="1" x14ac:dyDescent="0.3"/>
    <row r="4167" hidden="1" x14ac:dyDescent="0.3"/>
    <row r="4168" hidden="1" x14ac:dyDescent="0.3"/>
    <row r="4169" hidden="1" x14ac:dyDescent="0.3"/>
    <row r="4170" hidden="1" x14ac:dyDescent="0.3"/>
    <row r="4171" hidden="1" x14ac:dyDescent="0.3"/>
    <row r="4172" hidden="1" x14ac:dyDescent="0.3"/>
    <row r="4173" hidden="1" x14ac:dyDescent="0.3"/>
    <row r="4174" hidden="1" x14ac:dyDescent="0.3"/>
    <row r="4175" hidden="1" x14ac:dyDescent="0.3"/>
    <row r="4176" hidden="1" x14ac:dyDescent="0.3"/>
    <row r="4177" hidden="1" x14ac:dyDescent="0.3"/>
    <row r="4178" hidden="1" x14ac:dyDescent="0.3"/>
    <row r="4179" hidden="1" x14ac:dyDescent="0.3"/>
    <row r="4180" hidden="1" x14ac:dyDescent="0.3"/>
    <row r="4181" hidden="1" x14ac:dyDescent="0.3"/>
    <row r="4182" hidden="1" x14ac:dyDescent="0.3"/>
    <row r="4183" hidden="1" x14ac:dyDescent="0.3"/>
    <row r="4184" hidden="1" x14ac:dyDescent="0.3"/>
    <row r="4185" hidden="1" x14ac:dyDescent="0.3"/>
    <row r="4186" hidden="1" x14ac:dyDescent="0.3"/>
    <row r="4187" hidden="1" x14ac:dyDescent="0.3"/>
    <row r="4188" hidden="1" x14ac:dyDescent="0.3"/>
    <row r="4189" hidden="1" x14ac:dyDescent="0.3"/>
    <row r="4190" hidden="1" x14ac:dyDescent="0.3"/>
    <row r="4191" hidden="1" x14ac:dyDescent="0.3"/>
    <row r="4192" hidden="1" x14ac:dyDescent="0.3"/>
    <row r="4193" hidden="1" x14ac:dyDescent="0.3"/>
    <row r="4194" hidden="1" x14ac:dyDescent="0.3"/>
    <row r="4195" hidden="1" x14ac:dyDescent="0.3"/>
    <row r="4196" hidden="1" x14ac:dyDescent="0.3"/>
    <row r="4197" hidden="1" x14ac:dyDescent="0.3"/>
    <row r="4198" hidden="1" x14ac:dyDescent="0.3"/>
    <row r="4199" hidden="1" x14ac:dyDescent="0.3"/>
    <row r="4200" hidden="1" x14ac:dyDescent="0.3"/>
    <row r="4201" hidden="1" x14ac:dyDescent="0.3"/>
    <row r="4202" hidden="1" x14ac:dyDescent="0.3"/>
    <row r="4203" hidden="1" x14ac:dyDescent="0.3"/>
    <row r="4204" hidden="1" x14ac:dyDescent="0.3"/>
    <row r="4205" hidden="1" x14ac:dyDescent="0.3"/>
    <row r="4206" hidden="1" x14ac:dyDescent="0.3"/>
    <row r="4207" hidden="1" x14ac:dyDescent="0.3"/>
    <row r="4208" hidden="1" x14ac:dyDescent="0.3"/>
    <row r="4209" hidden="1" x14ac:dyDescent="0.3"/>
    <row r="4210" hidden="1" x14ac:dyDescent="0.3"/>
    <row r="4211" hidden="1" x14ac:dyDescent="0.3"/>
    <row r="4212" hidden="1" x14ac:dyDescent="0.3"/>
    <row r="4213" hidden="1" x14ac:dyDescent="0.3"/>
    <row r="4214" hidden="1" x14ac:dyDescent="0.3"/>
    <row r="4215" hidden="1" x14ac:dyDescent="0.3"/>
    <row r="4216" hidden="1" x14ac:dyDescent="0.3"/>
    <row r="4217" hidden="1" x14ac:dyDescent="0.3"/>
    <row r="4218" hidden="1" x14ac:dyDescent="0.3"/>
    <row r="4219" hidden="1" x14ac:dyDescent="0.3"/>
    <row r="4220" hidden="1" x14ac:dyDescent="0.3"/>
    <row r="4221" hidden="1" x14ac:dyDescent="0.3"/>
    <row r="4222" hidden="1" x14ac:dyDescent="0.3"/>
    <row r="4223" hidden="1" x14ac:dyDescent="0.3"/>
    <row r="4224" hidden="1" x14ac:dyDescent="0.3"/>
    <row r="4225" hidden="1" x14ac:dyDescent="0.3"/>
    <row r="4226" hidden="1" x14ac:dyDescent="0.3"/>
    <row r="4227" hidden="1" x14ac:dyDescent="0.3"/>
    <row r="4228" hidden="1" x14ac:dyDescent="0.3"/>
    <row r="4229" hidden="1" x14ac:dyDescent="0.3"/>
    <row r="4230" hidden="1" x14ac:dyDescent="0.3"/>
    <row r="4231" hidden="1" x14ac:dyDescent="0.3"/>
    <row r="4232" hidden="1" x14ac:dyDescent="0.3"/>
    <row r="4233" hidden="1" x14ac:dyDescent="0.3"/>
    <row r="4234" hidden="1" x14ac:dyDescent="0.3"/>
    <row r="4235" hidden="1" x14ac:dyDescent="0.3"/>
    <row r="4236" hidden="1" x14ac:dyDescent="0.3"/>
    <row r="4237" hidden="1" x14ac:dyDescent="0.3"/>
    <row r="4238" hidden="1" x14ac:dyDescent="0.3"/>
    <row r="4239" hidden="1" x14ac:dyDescent="0.3"/>
    <row r="4240" hidden="1" x14ac:dyDescent="0.3"/>
    <row r="4241" hidden="1" x14ac:dyDescent="0.3"/>
    <row r="4242" hidden="1" x14ac:dyDescent="0.3"/>
    <row r="4243" hidden="1" x14ac:dyDescent="0.3"/>
    <row r="4244" hidden="1" x14ac:dyDescent="0.3"/>
    <row r="4245" hidden="1" x14ac:dyDescent="0.3"/>
    <row r="4246" hidden="1" x14ac:dyDescent="0.3"/>
    <row r="4247" hidden="1" x14ac:dyDescent="0.3"/>
    <row r="4248" hidden="1" x14ac:dyDescent="0.3"/>
    <row r="4249" hidden="1" x14ac:dyDescent="0.3"/>
    <row r="4250" hidden="1" x14ac:dyDescent="0.3"/>
    <row r="4251" hidden="1" x14ac:dyDescent="0.3"/>
    <row r="4252" hidden="1" x14ac:dyDescent="0.3"/>
    <row r="4253" hidden="1" x14ac:dyDescent="0.3"/>
    <row r="4254" hidden="1" x14ac:dyDescent="0.3"/>
    <row r="4255" hidden="1" x14ac:dyDescent="0.3"/>
    <row r="4256" hidden="1" x14ac:dyDescent="0.3"/>
    <row r="4257" hidden="1" x14ac:dyDescent="0.3"/>
    <row r="4258" hidden="1" x14ac:dyDescent="0.3"/>
    <row r="4259" hidden="1" x14ac:dyDescent="0.3"/>
    <row r="4260" hidden="1" x14ac:dyDescent="0.3"/>
    <row r="4261" hidden="1" x14ac:dyDescent="0.3"/>
    <row r="4262" hidden="1" x14ac:dyDescent="0.3"/>
    <row r="4263" hidden="1" x14ac:dyDescent="0.3"/>
    <row r="4264" hidden="1" x14ac:dyDescent="0.3"/>
    <row r="4265" hidden="1" x14ac:dyDescent="0.3"/>
    <row r="4266" hidden="1" x14ac:dyDescent="0.3"/>
    <row r="4267" hidden="1" x14ac:dyDescent="0.3"/>
    <row r="4268" hidden="1" x14ac:dyDescent="0.3"/>
    <row r="4269" hidden="1" x14ac:dyDescent="0.3"/>
    <row r="4270" hidden="1" x14ac:dyDescent="0.3"/>
    <row r="4271" hidden="1" x14ac:dyDescent="0.3"/>
    <row r="4272" hidden="1" x14ac:dyDescent="0.3"/>
    <row r="4273" hidden="1" x14ac:dyDescent="0.3"/>
    <row r="4274" hidden="1" x14ac:dyDescent="0.3"/>
    <row r="4275" hidden="1" x14ac:dyDescent="0.3"/>
    <row r="4276" hidden="1" x14ac:dyDescent="0.3"/>
    <row r="4277" hidden="1" x14ac:dyDescent="0.3"/>
    <row r="4278" hidden="1" x14ac:dyDescent="0.3"/>
    <row r="4279" hidden="1" x14ac:dyDescent="0.3"/>
    <row r="4280" hidden="1" x14ac:dyDescent="0.3"/>
    <row r="4281" hidden="1" x14ac:dyDescent="0.3"/>
    <row r="4282" hidden="1" x14ac:dyDescent="0.3"/>
    <row r="4283" hidden="1" x14ac:dyDescent="0.3"/>
    <row r="4284" hidden="1" x14ac:dyDescent="0.3"/>
    <row r="4285" hidden="1" x14ac:dyDescent="0.3"/>
    <row r="4286" hidden="1" x14ac:dyDescent="0.3"/>
    <row r="4287" hidden="1" x14ac:dyDescent="0.3"/>
    <row r="4288" hidden="1" x14ac:dyDescent="0.3"/>
    <row r="4289" hidden="1" x14ac:dyDescent="0.3"/>
    <row r="4290" hidden="1" x14ac:dyDescent="0.3"/>
    <row r="4291" hidden="1" x14ac:dyDescent="0.3"/>
    <row r="4292" hidden="1" x14ac:dyDescent="0.3"/>
    <row r="4293" hidden="1" x14ac:dyDescent="0.3"/>
    <row r="4294" hidden="1" x14ac:dyDescent="0.3"/>
    <row r="4295" hidden="1" x14ac:dyDescent="0.3"/>
    <row r="4296" hidden="1" x14ac:dyDescent="0.3"/>
    <row r="4297" hidden="1" x14ac:dyDescent="0.3"/>
    <row r="4298" hidden="1" x14ac:dyDescent="0.3"/>
    <row r="4299" hidden="1" x14ac:dyDescent="0.3"/>
    <row r="4300" hidden="1" x14ac:dyDescent="0.3"/>
    <row r="4301" hidden="1" x14ac:dyDescent="0.3"/>
    <row r="4302" hidden="1" x14ac:dyDescent="0.3"/>
    <row r="4303" hidden="1" x14ac:dyDescent="0.3"/>
    <row r="4304" hidden="1" x14ac:dyDescent="0.3"/>
    <row r="4305" hidden="1" x14ac:dyDescent="0.3"/>
    <row r="4306" hidden="1" x14ac:dyDescent="0.3"/>
    <row r="4307" hidden="1" x14ac:dyDescent="0.3"/>
    <row r="4308" hidden="1" x14ac:dyDescent="0.3"/>
    <row r="4309" hidden="1" x14ac:dyDescent="0.3"/>
    <row r="4310" hidden="1" x14ac:dyDescent="0.3"/>
    <row r="4311" hidden="1" x14ac:dyDescent="0.3"/>
    <row r="4312" hidden="1" x14ac:dyDescent="0.3"/>
    <row r="4313" hidden="1" x14ac:dyDescent="0.3"/>
    <row r="4314" hidden="1" x14ac:dyDescent="0.3"/>
    <row r="4315" hidden="1" x14ac:dyDescent="0.3"/>
    <row r="4316" hidden="1" x14ac:dyDescent="0.3"/>
    <row r="4317" hidden="1" x14ac:dyDescent="0.3"/>
    <row r="4318" hidden="1" x14ac:dyDescent="0.3"/>
    <row r="4319" hidden="1" x14ac:dyDescent="0.3"/>
    <row r="4320" hidden="1" x14ac:dyDescent="0.3"/>
    <row r="4321" hidden="1" x14ac:dyDescent="0.3"/>
    <row r="4322" hidden="1" x14ac:dyDescent="0.3"/>
    <row r="4323" hidden="1" x14ac:dyDescent="0.3"/>
    <row r="4324" hidden="1" x14ac:dyDescent="0.3"/>
    <row r="4325" hidden="1" x14ac:dyDescent="0.3"/>
    <row r="4326" hidden="1" x14ac:dyDescent="0.3"/>
    <row r="4327" hidden="1" x14ac:dyDescent="0.3"/>
    <row r="4328" hidden="1" x14ac:dyDescent="0.3"/>
    <row r="4329" hidden="1" x14ac:dyDescent="0.3"/>
    <row r="4330" hidden="1" x14ac:dyDescent="0.3"/>
    <row r="4331" hidden="1" x14ac:dyDescent="0.3"/>
    <row r="4332" hidden="1" x14ac:dyDescent="0.3"/>
    <row r="4333" hidden="1" x14ac:dyDescent="0.3"/>
    <row r="4334" hidden="1" x14ac:dyDescent="0.3"/>
    <row r="4335" hidden="1" x14ac:dyDescent="0.3"/>
    <row r="4336" hidden="1" x14ac:dyDescent="0.3"/>
    <row r="4337" hidden="1" x14ac:dyDescent="0.3"/>
    <row r="4338" hidden="1" x14ac:dyDescent="0.3"/>
    <row r="4339" hidden="1" x14ac:dyDescent="0.3"/>
    <row r="4340" hidden="1" x14ac:dyDescent="0.3"/>
    <row r="4341" hidden="1" x14ac:dyDescent="0.3"/>
    <row r="4342" hidden="1" x14ac:dyDescent="0.3"/>
    <row r="4343" hidden="1" x14ac:dyDescent="0.3"/>
    <row r="4344" hidden="1" x14ac:dyDescent="0.3"/>
    <row r="4345" hidden="1" x14ac:dyDescent="0.3"/>
    <row r="4346" hidden="1" x14ac:dyDescent="0.3"/>
    <row r="4347" hidden="1" x14ac:dyDescent="0.3"/>
    <row r="4348" hidden="1" x14ac:dyDescent="0.3"/>
    <row r="4349" hidden="1" x14ac:dyDescent="0.3"/>
    <row r="4350" hidden="1" x14ac:dyDescent="0.3"/>
    <row r="4351" hidden="1" x14ac:dyDescent="0.3"/>
    <row r="4352" hidden="1" x14ac:dyDescent="0.3"/>
    <row r="4353" hidden="1" x14ac:dyDescent="0.3"/>
    <row r="4354" hidden="1" x14ac:dyDescent="0.3"/>
    <row r="4355" hidden="1" x14ac:dyDescent="0.3"/>
    <row r="4356" hidden="1" x14ac:dyDescent="0.3"/>
    <row r="4357" hidden="1" x14ac:dyDescent="0.3"/>
    <row r="4358" hidden="1" x14ac:dyDescent="0.3"/>
    <row r="4359" hidden="1" x14ac:dyDescent="0.3"/>
    <row r="4360" hidden="1" x14ac:dyDescent="0.3"/>
    <row r="4361" hidden="1" x14ac:dyDescent="0.3"/>
    <row r="4362" hidden="1" x14ac:dyDescent="0.3"/>
    <row r="4363" hidden="1" x14ac:dyDescent="0.3"/>
    <row r="4364" hidden="1" x14ac:dyDescent="0.3"/>
    <row r="4365" hidden="1" x14ac:dyDescent="0.3"/>
    <row r="4366" hidden="1" x14ac:dyDescent="0.3"/>
    <row r="4367" hidden="1" x14ac:dyDescent="0.3"/>
    <row r="4368" hidden="1" x14ac:dyDescent="0.3"/>
    <row r="4369" hidden="1" x14ac:dyDescent="0.3"/>
    <row r="4370" hidden="1" x14ac:dyDescent="0.3"/>
    <row r="4371" hidden="1" x14ac:dyDescent="0.3"/>
    <row r="4372" hidden="1" x14ac:dyDescent="0.3"/>
    <row r="4373" hidden="1" x14ac:dyDescent="0.3"/>
    <row r="4374" hidden="1" x14ac:dyDescent="0.3"/>
    <row r="4375" hidden="1" x14ac:dyDescent="0.3"/>
    <row r="4376" hidden="1" x14ac:dyDescent="0.3"/>
    <row r="4377" hidden="1" x14ac:dyDescent="0.3"/>
    <row r="4378" hidden="1" x14ac:dyDescent="0.3"/>
    <row r="4379" hidden="1" x14ac:dyDescent="0.3"/>
    <row r="4380" hidden="1" x14ac:dyDescent="0.3"/>
    <row r="4381" hidden="1" x14ac:dyDescent="0.3"/>
    <row r="4382" hidden="1" x14ac:dyDescent="0.3"/>
    <row r="4383" hidden="1" x14ac:dyDescent="0.3"/>
    <row r="4384" hidden="1" x14ac:dyDescent="0.3"/>
    <row r="4385" hidden="1" x14ac:dyDescent="0.3"/>
    <row r="4386" hidden="1" x14ac:dyDescent="0.3"/>
    <row r="4387" hidden="1" x14ac:dyDescent="0.3"/>
    <row r="4388" hidden="1" x14ac:dyDescent="0.3"/>
    <row r="4389" hidden="1" x14ac:dyDescent="0.3"/>
    <row r="4390" hidden="1" x14ac:dyDescent="0.3"/>
    <row r="4391" hidden="1" x14ac:dyDescent="0.3"/>
    <row r="4392" hidden="1" x14ac:dyDescent="0.3"/>
    <row r="4393" hidden="1" x14ac:dyDescent="0.3"/>
    <row r="4394" hidden="1" x14ac:dyDescent="0.3"/>
    <row r="4395" hidden="1" x14ac:dyDescent="0.3"/>
    <row r="4396" hidden="1" x14ac:dyDescent="0.3"/>
    <row r="4397" hidden="1" x14ac:dyDescent="0.3"/>
    <row r="4398" hidden="1" x14ac:dyDescent="0.3"/>
    <row r="4399" hidden="1" x14ac:dyDescent="0.3"/>
    <row r="4400" hidden="1" x14ac:dyDescent="0.3"/>
    <row r="4401" hidden="1" x14ac:dyDescent="0.3"/>
    <row r="4402" hidden="1" x14ac:dyDescent="0.3"/>
    <row r="4403" hidden="1" x14ac:dyDescent="0.3"/>
    <row r="4404" hidden="1" x14ac:dyDescent="0.3"/>
    <row r="4405" hidden="1" x14ac:dyDescent="0.3"/>
    <row r="4406" hidden="1" x14ac:dyDescent="0.3"/>
    <row r="4407" hidden="1" x14ac:dyDescent="0.3"/>
    <row r="4408" hidden="1" x14ac:dyDescent="0.3"/>
    <row r="4409" hidden="1" x14ac:dyDescent="0.3"/>
    <row r="4410" hidden="1" x14ac:dyDescent="0.3"/>
    <row r="4411" hidden="1" x14ac:dyDescent="0.3"/>
    <row r="4412" hidden="1" x14ac:dyDescent="0.3"/>
    <row r="4413" hidden="1" x14ac:dyDescent="0.3"/>
    <row r="4414" hidden="1" x14ac:dyDescent="0.3"/>
    <row r="4415" hidden="1" x14ac:dyDescent="0.3"/>
    <row r="4416" hidden="1" x14ac:dyDescent="0.3"/>
    <row r="4417" hidden="1" x14ac:dyDescent="0.3"/>
    <row r="4418" hidden="1" x14ac:dyDescent="0.3"/>
    <row r="4419" hidden="1" x14ac:dyDescent="0.3"/>
    <row r="4420" hidden="1" x14ac:dyDescent="0.3"/>
    <row r="4421" hidden="1" x14ac:dyDescent="0.3"/>
    <row r="4422" hidden="1" x14ac:dyDescent="0.3"/>
    <row r="4423" hidden="1" x14ac:dyDescent="0.3"/>
    <row r="4424" hidden="1" x14ac:dyDescent="0.3"/>
    <row r="4425" hidden="1" x14ac:dyDescent="0.3"/>
    <row r="4426" hidden="1" x14ac:dyDescent="0.3"/>
    <row r="4427" hidden="1" x14ac:dyDescent="0.3"/>
    <row r="4428" hidden="1" x14ac:dyDescent="0.3"/>
    <row r="4429" hidden="1" x14ac:dyDescent="0.3"/>
    <row r="4430" hidden="1" x14ac:dyDescent="0.3"/>
    <row r="4431" hidden="1" x14ac:dyDescent="0.3"/>
    <row r="4432" hidden="1" x14ac:dyDescent="0.3"/>
    <row r="4433" hidden="1" x14ac:dyDescent="0.3"/>
    <row r="4434" hidden="1" x14ac:dyDescent="0.3"/>
    <row r="4435" hidden="1" x14ac:dyDescent="0.3"/>
    <row r="4436" hidden="1" x14ac:dyDescent="0.3"/>
    <row r="4437" hidden="1" x14ac:dyDescent="0.3"/>
    <row r="4438" hidden="1" x14ac:dyDescent="0.3"/>
    <row r="4439" hidden="1" x14ac:dyDescent="0.3"/>
    <row r="4440" hidden="1" x14ac:dyDescent="0.3"/>
    <row r="4441" hidden="1" x14ac:dyDescent="0.3"/>
    <row r="4442" hidden="1" x14ac:dyDescent="0.3"/>
    <row r="4443" hidden="1" x14ac:dyDescent="0.3"/>
    <row r="4444" hidden="1" x14ac:dyDescent="0.3"/>
    <row r="4445" hidden="1" x14ac:dyDescent="0.3"/>
    <row r="4446" hidden="1" x14ac:dyDescent="0.3"/>
    <row r="4447" hidden="1" x14ac:dyDescent="0.3"/>
    <row r="4448" hidden="1" x14ac:dyDescent="0.3"/>
    <row r="4449" hidden="1" x14ac:dyDescent="0.3"/>
    <row r="4450" hidden="1" x14ac:dyDescent="0.3"/>
    <row r="4451" hidden="1" x14ac:dyDescent="0.3"/>
    <row r="4452" hidden="1" x14ac:dyDescent="0.3"/>
    <row r="4453" hidden="1" x14ac:dyDescent="0.3"/>
    <row r="4454" hidden="1" x14ac:dyDescent="0.3"/>
    <row r="4455" hidden="1" x14ac:dyDescent="0.3"/>
    <row r="4456" hidden="1" x14ac:dyDescent="0.3"/>
    <row r="4457" hidden="1" x14ac:dyDescent="0.3"/>
    <row r="4458" hidden="1" x14ac:dyDescent="0.3"/>
    <row r="4459" hidden="1" x14ac:dyDescent="0.3"/>
    <row r="4460" hidden="1" x14ac:dyDescent="0.3"/>
    <row r="4461" hidden="1" x14ac:dyDescent="0.3"/>
    <row r="4462" hidden="1" x14ac:dyDescent="0.3"/>
    <row r="4463" hidden="1" x14ac:dyDescent="0.3"/>
    <row r="4464" hidden="1" x14ac:dyDescent="0.3"/>
    <row r="4465" hidden="1" x14ac:dyDescent="0.3"/>
    <row r="4466" hidden="1" x14ac:dyDescent="0.3"/>
    <row r="4467" hidden="1" x14ac:dyDescent="0.3"/>
    <row r="4468" hidden="1" x14ac:dyDescent="0.3"/>
    <row r="4469" hidden="1" x14ac:dyDescent="0.3"/>
    <row r="4470" hidden="1" x14ac:dyDescent="0.3"/>
    <row r="4471" hidden="1" x14ac:dyDescent="0.3"/>
    <row r="4472" hidden="1" x14ac:dyDescent="0.3"/>
    <row r="4473" hidden="1" x14ac:dyDescent="0.3"/>
    <row r="4474" hidden="1" x14ac:dyDescent="0.3"/>
    <row r="4475" hidden="1" x14ac:dyDescent="0.3"/>
    <row r="4476" hidden="1" x14ac:dyDescent="0.3"/>
    <row r="4477" hidden="1" x14ac:dyDescent="0.3"/>
    <row r="4478" hidden="1" x14ac:dyDescent="0.3"/>
    <row r="4479" hidden="1" x14ac:dyDescent="0.3"/>
    <row r="4480" hidden="1" x14ac:dyDescent="0.3"/>
    <row r="4481" hidden="1" x14ac:dyDescent="0.3"/>
    <row r="4482" hidden="1" x14ac:dyDescent="0.3"/>
    <row r="4483" hidden="1" x14ac:dyDescent="0.3"/>
    <row r="4484" hidden="1" x14ac:dyDescent="0.3"/>
    <row r="4485" hidden="1" x14ac:dyDescent="0.3"/>
    <row r="4486" hidden="1" x14ac:dyDescent="0.3"/>
    <row r="4487" hidden="1" x14ac:dyDescent="0.3"/>
    <row r="4488" hidden="1" x14ac:dyDescent="0.3"/>
    <row r="4489" hidden="1" x14ac:dyDescent="0.3"/>
    <row r="4490" hidden="1" x14ac:dyDescent="0.3"/>
    <row r="4491" hidden="1" x14ac:dyDescent="0.3"/>
    <row r="4492" hidden="1" x14ac:dyDescent="0.3"/>
    <row r="4493" hidden="1" x14ac:dyDescent="0.3"/>
    <row r="4494" hidden="1" x14ac:dyDescent="0.3"/>
    <row r="4495" hidden="1" x14ac:dyDescent="0.3"/>
    <row r="4496" hidden="1" x14ac:dyDescent="0.3"/>
    <row r="4497" hidden="1" x14ac:dyDescent="0.3"/>
    <row r="4498" hidden="1" x14ac:dyDescent="0.3"/>
    <row r="4499" hidden="1" x14ac:dyDescent="0.3"/>
    <row r="4500" hidden="1" x14ac:dyDescent="0.3"/>
    <row r="4501" hidden="1" x14ac:dyDescent="0.3"/>
    <row r="4502" hidden="1" x14ac:dyDescent="0.3"/>
    <row r="4503" hidden="1" x14ac:dyDescent="0.3"/>
    <row r="4504" hidden="1" x14ac:dyDescent="0.3"/>
    <row r="4505" hidden="1" x14ac:dyDescent="0.3"/>
    <row r="4506" hidden="1" x14ac:dyDescent="0.3"/>
    <row r="4507" hidden="1" x14ac:dyDescent="0.3"/>
    <row r="4508" hidden="1" x14ac:dyDescent="0.3"/>
    <row r="4509" hidden="1" x14ac:dyDescent="0.3"/>
    <row r="4510" hidden="1" x14ac:dyDescent="0.3"/>
    <row r="4511" hidden="1" x14ac:dyDescent="0.3"/>
    <row r="4512" hidden="1" x14ac:dyDescent="0.3"/>
    <row r="4513" hidden="1" x14ac:dyDescent="0.3"/>
    <row r="4514" hidden="1" x14ac:dyDescent="0.3"/>
    <row r="4515" hidden="1" x14ac:dyDescent="0.3"/>
    <row r="4516" hidden="1" x14ac:dyDescent="0.3"/>
    <row r="4517" hidden="1" x14ac:dyDescent="0.3"/>
    <row r="4518" hidden="1" x14ac:dyDescent="0.3"/>
    <row r="4519" hidden="1" x14ac:dyDescent="0.3"/>
    <row r="4520" hidden="1" x14ac:dyDescent="0.3"/>
    <row r="4521" hidden="1" x14ac:dyDescent="0.3"/>
    <row r="4522" hidden="1" x14ac:dyDescent="0.3"/>
    <row r="4523" hidden="1" x14ac:dyDescent="0.3"/>
    <row r="4524" hidden="1" x14ac:dyDescent="0.3"/>
    <row r="4525" hidden="1" x14ac:dyDescent="0.3"/>
    <row r="4526" hidden="1" x14ac:dyDescent="0.3"/>
    <row r="4527" hidden="1" x14ac:dyDescent="0.3"/>
    <row r="4528" hidden="1" x14ac:dyDescent="0.3"/>
    <row r="4529" hidden="1" x14ac:dyDescent="0.3"/>
    <row r="4530" hidden="1" x14ac:dyDescent="0.3"/>
    <row r="4531" hidden="1" x14ac:dyDescent="0.3"/>
    <row r="4532" hidden="1" x14ac:dyDescent="0.3"/>
    <row r="4533" hidden="1" x14ac:dyDescent="0.3"/>
    <row r="4534" hidden="1" x14ac:dyDescent="0.3"/>
    <row r="4535" hidden="1" x14ac:dyDescent="0.3"/>
    <row r="4536" hidden="1" x14ac:dyDescent="0.3"/>
    <row r="4537" hidden="1" x14ac:dyDescent="0.3"/>
    <row r="4538" hidden="1" x14ac:dyDescent="0.3"/>
    <row r="4539" hidden="1" x14ac:dyDescent="0.3"/>
    <row r="4540" hidden="1" x14ac:dyDescent="0.3"/>
    <row r="4541" hidden="1" x14ac:dyDescent="0.3"/>
    <row r="4542" hidden="1" x14ac:dyDescent="0.3"/>
    <row r="4543" hidden="1" x14ac:dyDescent="0.3"/>
    <row r="4544" hidden="1" x14ac:dyDescent="0.3"/>
    <row r="4545" hidden="1" x14ac:dyDescent="0.3"/>
    <row r="4546" hidden="1" x14ac:dyDescent="0.3"/>
    <row r="4547" hidden="1" x14ac:dyDescent="0.3"/>
    <row r="4548" hidden="1" x14ac:dyDescent="0.3"/>
    <row r="4549" hidden="1" x14ac:dyDescent="0.3"/>
    <row r="4550" hidden="1" x14ac:dyDescent="0.3"/>
    <row r="4551" hidden="1" x14ac:dyDescent="0.3"/>
    <row r="4552" hidden="1" x14ac:dyDescent="0.3"/>
    <row r="4553" hidden="1" x14ac:dyDescent="0.3"/>
    <row r="4554" hidden="1" x14ac:dyDescent="0.3"/>
    <row r="4555" hidden="1" x14ac:dyDescent="0.3"/>
    <row r="4556" hidden="1" x14ac:dyDescent="0.3"/>
    <row r="4557" hidden="1" x14ac:dyDescent="0.3"/>
    <row r="4558" hidden="1" x14ac:dyDescent="0.3"/>
    <row r="4559" hidden="1" x14ac:dyDescent="0.3"/>
    <row r="4560" hidden="1" x14ac:dyDescent="0.3"/>
    <row r="4561" hidden="1" x14ac:dyDescent="0.3"/>
    <row r="4562" hidden="1" x14ac:dyDescent="0.3"/>
    <row r="4563" hidden="1" x14ac:dyDescent="0.3"/>
    <row r="4564" hidden="1" x14ac:dyDescent="0.3"/>
    <row r="4565" hidden="1" x14ac:dyDescent="0.3"/>
    <row r="4566" hidden="1" x14ac:dyDescent="0.3"/>
    <row r="4567" hidden="1" x14ac:dyDescent="0.3"/>
    <row r="4568" hidden="1" x14ac:dyDescent="0.3"/>
    <row r="4569" hidden="1" x14ac:dyDescent="0.3"/>
    <row r="4570" hidden="1" x14ac:dyDescent="0.3"/>
    <row r="4571" hidden="1" x14ac:dyDescent="0.3"/>
    <row r="4572" hidden="1" x14ac:dyDescent="0.3"/>
    <row r="4573" hidden="1" x14ac:dyDescent="0.3"/>
    <row r="4574" hidden="1" x14ac:dyDescent="0.3"/>
    <row r="4575" hidden="1" x14ac:dyDescent="0.3"/>
    <row r="4576" hidden="1" x14ac:dyDescent="0.3"/>
    <row r="4577" hidden="1" x14ac:dyDescent="0.3"/>
    <row r="4578" hidden="1" x14ac:dyDescent="0.3"/>
    <row r="4579" hidden="1" x14ac:dyDescent="0.3"/>
    <row r="4580" hidden="1" x14ac:dyDescent="0.3"/>
    <row r="4581" hidden="1" x14ac:dyDescent="0.3"/>
    <row r="4582" hidden="1" x14ac:dyDescent="0.3"/>
    <row r="4583" hidden="1" x14ac:dyDescent="0.3"/>
    <row r="4584" hidden="1" x14ac:dyDescent="0.3"/>
    <row r="4585" hidden="1" x14ac:dyDescent="0.3"/>
    <row r="4586" hidden="1" x14ac:dyDescent="0.3"/>
    <row r="4587" hidden="1" x14ac:dyDescent="0.3"/>
    <row r="4588" hidden="1" x14ac:dyDescent="0.3"/>
    <row r="4589" hidden="1" x14ac:dyDescent="0.3"/>
    <row r="4590" hidden="1" x14ac:dyDescent="0.3"/>
    <row r="4591" hidden="1" x14ac:dyDescent="0.3"/>
    <row r="4592" hidden="1" x14ac:dyDescent="0.3"/>
    <row r="4593" hidden="1" x14ac:dyDescent="0.3"/>
    <row r="4594" hidden="1" x14ac:dyDescent="0.3"/>
    <row r="4595" hidden="1" x14ac:dyDescent="0.3"/>
    <row r="4596" hidden="1" x14ac:dyDescent="0.3"/>
    <row r="4597" hidden="1" x14ac:dyDescent="0.3"/>
    <row r="4598" hidden="1" x14ac:dyDescent="0.3"/>
    <row r="4599" hidden="1" x14ac:dyDescent="0.3"/>
    <row r="4600" hidden="1" x14ac:dyDescent="0.3"/>
    <row r="4601" hidden="1" x14ac:dyDescent="0.3"/>
    <row r="4602" hidden="1" x14ac:dyDescent="0.3"/>
    <row r="4603" hidden="1" x14ac:dyDescent="0.3"/>
    <row r="4604" hidden="1" x14ac:dyDescent="0.3"/>
    <row r="4605" hidden="1" x14ac:dyDescent="0.3"/>
    <row r="4606" hidden="1" x14ac:dyDescent="0.3"/>
    <row r="4607" hidden="1" x14ac:dyDescent="0.3"/>
    <row r="4608" hidden="1" x14ac:dyDescent="0.3"/>
    <row r="4609" hidden="1" x14ac:dyDescent="0.3"/>
    <row r="4610" hidden="1" x14ac:dyDescent="0.3"/>
    <row r="4611" hidden="1" x14ac:dyDescent="0.3"/>
    <row r="4612" hidden="1" x14ac:dyDescent="0.3"/>
    <row r="4613" hidden="1" x14ac:dyDescent="0.3"/>
    <row r="4614" hidden="1" x14ac:dyDescent="0.3"/>
    <row r="4615" hidden="1" x14ac:dyDescent="0.3"/>
    <row r="4616" hidden="1" x14ac:dyDescent="0.3"/>
    <row r="4617" hidden="1" x14ac:dyDescent="0.3"/>
    <row r="4618" hidden="1" x14ac:dyDescent="0.3"/>
    <row r="4619" hidden="1" x14ac:dyDescent="0.3"/>
    <row r="4620" hidden="1" x14ac:dyDescent="0.3"/>
    <row r="4621" hidden="1" x14ac:dyDescent="0.3"/>
    <row r="4622" hidden="1" x14ac:dyDescent="0.3"/>
    <row r="4623" hidden="1" x14ac:dyDescent="0.3"/>
    <row r="4624" hidden="1" x14ac:dyDescent="0.3"/>
    <row r="4625" hidden="1" x14ac:dyDescent="0.3"/>
    <row r="4626" hidden="1" x14ac:dyDescent="0.3"/>
    <row r="4627" hidden="1" x14ac:dyDescent="0.3"/>
    <row r="4628" hidden="1" x14ac:dyDescent="0.3"/>
    <row r="4629" hidden="1" x14ac:dyDescent="0.3"/>
    <row r="4630" hidden="1" x14ac:dyDescent="0.3"/>
    <row r="4631" hidden="1" x14ac:dyDescent="0.3"/>
    <row r="4632" hidden="1" x14ac:dyDescent="0.3"/>
    <row r="4633" hidden="1" x14ac:dyDescent="0.3"/>
    <row r="4634" hidden="1" x14ac:dyDescent="0.3"/>
    <row r="4635" hidden="1" x14ac:dyDescent="0.3"/>
    <row r="4636" hidden="1" x14ac:dyDescent="0.3"/>
    <row r="4637" hidden="1" x14ac:dyDescent="0.3"/>
    <row r="4638" hidden="1" x14ac:dyDescent="0.3"/>
    <row r="4639" hidden="1" x14ac:dyDescent="0.3"/>
    <row r="4640" hidden="1" x14ac:dyDescent="0.3"/>
    <row r="4641" hidden="1" x14ac:dyDescent="0.3"/>
    <row r="4642" hidden="1" x14ac:dyDescent="0.3"/>
    <row r="4643" hidden="1" x14ac:dyDescent="0.3"/>
    <row r="4644" hidden="1" x14ac:dyDescent="0.3"/>
    <row r="4645" hidden="1" x14ac:dyDescent="0.3"/>
    <row r="4646" hidden="1" x14ac:dyDescent="0.3"/>
    <row r="4647" hidden="1" x14ac:dyDescent="0.3"/>
    <row r="4648" hidden="1" x14ac:dyDescent="0.3"/>
    <row r="4649" hidden="1" x14ac:dyDescent="0.3"/>
    <row r="4650" hidden="1" x14ac:dyDescent="0.3"/>
    <row r="4651" hidden="1" x14ac:dyDescent="0.3"/>
    <row r="4652" hidden="1" x14ac:dyDescent="0.3"/>
    <row r="4653" hidden="1" x14ac:dyDescent="0.3"/>
    <row r="4654" hidden="1" x14ac:dyDescent="0.3"/>
    <row r="4655" hidden="1" x14ac:dyDescent="0.3"/>
    <row r="4656" hidden="1" x14ac:dyDescent="0.3"/>
    <row r="4657" hidden="1" x14ac:dyDescent="0.3"/>
    <row r="4658" hidden="1" x14ac:dyDescent="0.3"/>
    <row r="4659" hidden="1" x14ac:dyDescent="0.3"/>
    <row r="4660" hidden="1" x14ac:dyDescent="0.3"/>
    <row r="4661" hidden="1" x14ac:dyDescent="0.3"/>
    <row r="4662" hidden="1" x14ac:dyDescent="0.3"/>
    <row r="4663" hidden="1" x14ac:dyDescent="0.3"/>
    <row r="4664" hidden="1" x14ac:dyDescent="0.3"/>
    <row r="4665" hidden="1" x14ac:dyDescent="0.3"/>
    <row r="4666" hidden="1" x14ac:dyDescent="0.3"/>
    <row r="4667" hidden="1" x14ac:dyDescent="0.3"/>
    <row r="4668" hidden="1" x14ac:dyDescent="0.3"/>
    <row r="4669" hidden="1" x14ac:dyDescent="0.3"/>
    <row r="4670" hidden="1" x14ac:dyDescent="0.3"/>
    <row r="4671" hidden="1" x14ac:dyDescent="0.3"/>
    <row r="4672" hidden="1" x14ac:dyDescent="0.3"/>
    <row r="4673" hidden="1" x14ac:dyDescent="0.3"/>
    <row r="4674" hidden="1" x14ac:dyDescent="0.3"/>
    <row r="4675" hidden="1" x14ac:dyDescent="0.3"/>
    <row r="4676" hidden="1" x14ac:dyDescent="0.3"/>
    <row r="4677" hidden="1" x14ac:dyDescent="0.3"/>
    <row r="4678" hidden="1" x14ac:dyDescent="0.3"/>
    <row r="4679" hidden="1" x14ac:dyDescent="0.3"/>
    <row r="4680" hidden="1" x14ac:dyDescent="0.3"/>
    <row r="4681" hidden="1" x14ac:dyDescent="0.3"/>
    <row r="4682" hidden="1" x14ac:dyDescent="0.3"/>
    <row r="4683" hidden="1" x14ac:dyDescent="0.3"/>
    <row r="4684" hidden="1" x14ac:dyDescent="0.3"/>
    <row r="4685" hidden="1" x14ac:dyDescent="0.3"/>
    <row r="4686" hidden="1" x14ac:dyDescent="0.3"/>
    <row r="4687" hidden="1" x14ac:dyDescent="0.3"/>
    <row r="4688" hidden="1" x14ac:dyDescent="0.3"/>
    <row r="4689" hidden="1" x14ac:dyDescent="0.3"/>
    <row r="4690" hidden="1" x14ac:dyDescent="0.3"/>
    <row r="4691" hidden="1" x14ac:dyDescent="0.3"/>
    <row r="4692" hidden="1" x14ac:dyDescent="0.3"/>
    <row r="4693" hidden="1" x14ac:dyDescent="0.3"/>
    <row r="4694" hidden="1" x14ac:dyDescent="0.3"/>
    <row r="4695" hidden="1" x14ac:dyDescent="0.3"/>
    <row r="4696" hidden="1" x14ac:dyDescent="0.3"/>
    <row r="4697" hidden="1" x14ac:dyDescent="0.3"/>
    <row r="4698" hidden="1" x14ac:dyDescent="0.3"/>
    <row r="4699" hidden="1" x14ac:dyDescent="0.3"/>
    <row r="4700" hidden="1" x14ac:dyDescent="0.3"/>
    <row r="4701" hidden="1" x14ac:dyDescent="0.3"/>
    <row r="4702" hidden="1" x14ac:dyDescent="0.3"/>
    <row r="4703" hidden="1" x14ac:dyDescent="0.3"/>
    <row r="4704" hidden="1" x14ac:dyDescent="0.3"/>
    <row r="4705" hidden="1" x14ac:dyDescent="0.3"/>
    <row r="4706" hidden="1" x14ac:dyDescent="0.3"/>
    <row r="4707" hidden="1" x14ac:dyDescent="0.3"/>
    <row r="4708" hidden="1" x14ac:dyDescent="0.3"/>
    <row r="4709" hidden="1" x14ac:dyDescent="0.3"/>
    <row r="4710" hidden="1" x14ac:dyDescent="0.3"/>
    <row r="4711" hidden="1" x14ac:dyDescent="0.3"/>
    <row r="4712" hidden="1" x14ac:dyDescent="0.3"/>
    <row r="4713" hidden="1" x14ac:dyDescent="0.3"/>
    <row r="4714" hidden="1" x14ac:dyDescent="0.3"/>
    <row r="4715" hidden="1" x14ac:dyDescent="0.3"/>
    <row r="4716" hidden="1" x14ac:dyDescent="0.3"/>
    <row r="4717" hidden="1" x14ac:dyDescent="0.3"/>
    <row r="4718" hidden="1" x14ac:dyDescent="0.3"/>
    <row r="4719" hidden="1" x14ac:dyDescent="0.3"/>
    <row r="4720" hidden="1" x14ac:dyDescent="0.3"/>
    <row r="4721" hidden="1" x14ac:dyDescent="0.3"/>
    <row r="4722" hidden="1" x14ac:dyDescent="0.3"/>
    <row r="4723" hidden="1" x14ac:dyDescent="0.3"/>
    <row r="4724" hidden="1" x14ac:dyDescent="0.3"/>
    <row r="4725" hidden="1" x14ac:dyDescent="0.3"/>
    <row r="4726" hidden="1" x14ac:dyDescent="0.3"/>
    <row r="4727" hidden="1" x14ac:dyDescent="0.3"/>
    <row r="4728" hidden="1" x14ac:dyDescent="0.3"/>
    <row r="4729" hidden="1" x14ac:dyDescent="0.3"/>
    <row r="4730" hidden="1" x14ac:dyDescent="0.3"/>
    <row r="4731" hidden="1" x14ac:dyDescent="0.3"/>
    <row r="4732" hidden="1" x14ac:dyDescent="0.3"/>
    <row r="4733" hidden="1" x14ac:dyDescent="0.3"/>
    <row r="4734" hidden="1" x14ac:dyDescent="0.3"/>
    <row r="4735" hidden="1" x14ac:dyDescent="0.3"/>
    <row r="4736" hidden="1" x14ac:dyDescent="0.3"/>
    <row r="4737" hidden="1" x14ac:dyDescent="0.3"/>
    <row r="4738" hidden="1" x14ac:dyDescent="0.3"/>
    <row r="4739" hidden="1" x14ac:dyDescent="0.3"/>
    <row r="4740" hidden="1" x14ac:dyDescent="0.3"/>
    <row r="4741" hidden="1" x14ac:dyDescent="0.3"/>
    <row r="4742" hidden="1" x14ac:dyDescent="0.3"/>
    <row r="4743" hidden="1" x14ac:dyDescent="0.3"/>
    <row r="4744" hidden="1" x14ac:dyDescent="0.3"/>
    <row r="4745" hidden="1" x14ac:dyDescent="0.3"/>
    <row r="4746" hidden="1" x14ac:dyDescent="0.3"/>
    <row r="4747" hidden="1" x14ac:dyDescent="0.3"/>
    <row r="4748" hidden="1" x14ac:dyDescent="0.3"/>
    <row r="4749" hidden="1" x14ac:dyDescent="0.3"/>
    <row r="4750" hidden="1" x14ac:dyDescent="0.3"/>
    <row r="4751" hidden="1" x14ac:dyDescent="0.3"/>
    <row r="4752" hidden="1" x14ac:dyDescent="0.3"/>
    <row r="4753" hidden="1" x14ac:dyDescent="0.3"/>
    <row r="4754" hidden="1" x14ac:dyDescent="0.3"/>
    <row r="4755" hidden="1" x14ac:dyDescent="0.3"/>
    <row r="4756" hidden="1" x14ac:dyDescent="0.3"/>
    <row r="4757" hidden="1" x14ac:dyDescent="0.3"/>
    <row r="4758" hidden="1" x14ac:dyDescent="0.3"/>
    <row r="4759" hidden="1" x14ac:dyDescent="0.3"/>
    <row r="4760" hidden="1" x14ac:dyDescent="0.3"/>
    <row r="4761" hidden="1" x14ac:dyDescent="0.3"/>
    <row r="4762" hidden="1" x14ac:dyDescent="0.3"/>
    <row r="4763" hidden="1" x14ac:dyDescent="0.3"/>
    <row r="4764" hidden="1" x14ac:dyDescent="0.3"/>
    <row r="4765" hidden="1" x14ac:dyDescent="0.3"/>
    <row r="4766" hidden="1" x14ac:dyDescent="0.3"/>
    <row r="4767" hidden="1" x14ac:dyDescent="0.3"/>
    <row r="4768" hidden="1" x14ac:dyDescent="0.3"/>
    <row r="4769" hidden="1" x14ac:dyDescent="0.3"/>
    <row r="4770" hidden="1" x14ac:dyDescent="0.3"/>
    <row r="4771" hidden="1" x14ac:dyDescent="0.3"/>
    <row r="4772" hidden="1" x14ac:dyDescent="0.3"/>
    <row r="4773" hidden="1" x14ac:dyDescent="0.3"/>
    <row r="4774" hidden="1" x14ac:dyDescent="0.3"/>
    <row r="4775" hidden="1" x14ac:dyDescent="0.3"/>
    <row r="4776" hidden="1" x14ac:dyDescent="0.3"/>
    <row r="4777" hidden="1" x14ac:dyDescent="0.3"/>
    <row r="4778" hidden="1" x14ac:dyDescent="0.3"/>
    <row r="4779" hidden="1" x14ac:dyDescent="0.3"/>
    <row r="4780" hidden="1" x14ac:dyDescent="0.3"/>
    <row r="4781" hidden="1" x14ac:dyDescent="0.3"/>
    <row r="4782" hidden="1" x14ac:dyDescent="0.3"/>
    <row r="4783" hidden="1" x14ac:dyDescent="0.3"/>
    <row r="4784" hidden="1" x14ac:dyDescent="0.3"/>
    <row r="4785" hidden="1" x14ac:dyDescent="0.3"/>
    <row r="4786" hidden="1" x14ac:dyDescent="0.3"/>
    <row r="4787" hidden="1" x14ac:dyDescent="0.3"/>
    <row r="4788" hidden="1" x14ac:dyDescent="0.3"/>
    <row r="4789" hidden="1" x14ac:dyDescent="0.3"/>
    <row r="4790" hidden="1" x14ac:dyDescent="0.3"/>
    <row r="4791" hidden="1" x14ac:dyDescent="0.3"/>
    <row r="4792" hidden="1" x14ac:dyDescent="0.3"/>
    <row r="4793" hidden="1" x14ac:dyDescent="0.3"/>
    <row r="4794" hidden="1" x14ac:dyDescent="0.3"/>
    <row r="4795" hidden="1" x14ac:dyDescent="0.3"/>
    <row r="4796" hidden="1" x14ac:dyDescent="0.3"/>
    <row r="4797" hidden="1" x14ac:dyDescent="0.3"/>
    <row r="4798" hidden="1" x14ac:dyDescent="0.3"/>
    <row r="4799" hidden="1" x14ac:dyDescent="0.3"/>
    <row r="4800" hidden="1" x14ac:dyDescent="0.3"/>
    <row r="4801" hidden="1" x14ac:dyDescent="0.3"/>
    <row r="4802" hidden="1" x14ac:dyDescent="0.3"/>
    <row r="4803" hidden="1" x14ac:dyDescent="0.3"/>
    <row r="4804" hidden="1" x14ac:dyDescent="0.3"/>
    <row r="4805" hidden="1" x14ac:dyDescent="0.3"/>
    <row r="4806" hidden="1" x14ac:dyDescent="0.3"/>
    <row r="4807" hidden="1" x14ac:dyDescent="0.3"/>
    <row r="4808" hidden="1" x14ac:dyDescent="0.3"/>
    <row r="4809" hidden="1" x14ac:dyDescent="0.3"/>
    <row r="4810" hidden="1" x14ac:dyDescent="0.3"/>
    <row r="4811" hidden="1" x14ac:dyDescent="0.3"/>
    <row r="4812" hidden="1" x14ac:dyDescent="0.3"/>
    <row r="4813" hidden="1" x14ac:dyDescent="0.3"/>
    <row r="4814" hidden="1" x14ac:dyDescent="0.3"/>
    <row r="4815" hidden="1" x14ac:dyDescent="0.3"/>
    <row r="4816" hidden="1" x14ac:dyDescent="0.3"/>
    <row r="4817" hidden="1" x14ac:dyDescent="0.3"/>
    <row r="4818" hidden="1" x14ac:dyDescent="0.3"/>
    <row r="4819" hidden="1" x14ac:dyDescent="0.3"/>
    <row r="4820" hidden="1" x14ac:dyDescent="0.3"/>
    <row r="4821" hidden="1" x14ac:dyDescent="0.3"/>
    <row r="4822" hidden="1" x14ac:dyDescent="0.3"/>
    <row r="4823" hidden="1" x14ac:dyDescent="0.3"/>
    <row r="4824" hidden="1" x14ac:dyDescent="0.3"/>
    <row r="4825" hidden="1" x14ac:dyDescent="0.3"/>
    <row r="4826" hidden="1" x14ac:dyDescent="0.3"/>
    <row r="4827" hidden="1" x14ac:dyDescent="0.3"/>
    <row r="4828" hidden="1" x14ac:dyDescent="0.3"/>
    <row r="4829" hidden="1" x14ac:dyDescent="0.3"/>
    <row r="4830" hidden="1" x14ac:dyDescent="0.3"/>
    <row r="4831" hidden="1" x14ac:dyDescent="0.3"/>
    <row r="4832" hidden="1" x14ac:dyDescent="0.3"/>
    <row r="4833" hidden="1" x14ac:dyDescent="0.3"/>
    <row r="4834" hidden="1" x14ac:dyDescent="0.3"/>
    <row r="4835" hidden="1" x14ac:dyDescent="0.3"/>
    <row r="4836" hidden="1" x14ac:dyDescent="0.3"/>
    <row r="4837" hidden="1" x14ac:dyDescent="0.3"/>
    <row r="4838" hidden="1" x14ac:dyDescent="0.3"/>
    <row r="4839" hidden="1" x14ac:dyDescent="0.3"/>
    <row r="4840" hidden="1" x14ac:dyDescent="0.3"/>
    <row r="4841" hidden="1" x14ac:dyDescent="0.3"/>
    <row r="4842" hidden="1" x14ac:dyDescent="0.3"/>
    <row r="4843" hidden="1" x14ac:dyDescent="0.3"/>
    <row r="4844" hidden="1" x14ac:dyDescent="0.3"/>
    <row r="4845" hidden="1" x14ac:dyDescent="0.3"/>
    <row r="4846" hidden="1" x14ac:dyDescent="0.3"/>
    <row r="4847" hidden="1" x14ac:dyDescent="0.3"/>
    <row r="4848" hidden="1" x14ac:dyDescent="0.3"/>
    <row r="4849" hidden="1" x14ac:dyDescent="0.3"/>
    <row r="4850" hidden="1" x14ac:dyDescent="0.3"/>
    <row r="4851" hidden="1" x14ac:dyDescent="0.3"/>
    <row r="4852" hidden="1" x14ac:dyDescent="0.3"/>
    <row r="4853" hidden="1" x14ac:dyDescent="0.3"/>
    <row r="4854" hidden="1" x14ac:dyDescent="0.3"/>
    <row r="4855" hidden="1" x14ac:dyDescent="0.3"/>
    <row r="4856" hidden="1" x14ac:dyDescent="0.3"/>
    <row r="4857" hidden="1" x14ac:dyDescent="0.3"/>
    <row r="4858" hidden="1" x14ac:dyDescent="0.3"/>
    <row r="4859" hidden="1" x14ac:dyDescent="0.3"/>
    <row r="4860" hidden="1" x14ac:dyDescent="0.3"/>
    <row r="4861" hidden="1" x14ac:dyDescent="0.3"/>
    <row r="4862" hidden="1" x14ac:dyDescent="0.3"/>
    <row r="4863" hidden="1" x14ac:dyDescent="0.3"/>
    <row r="4864" hidden="1" x14ac:dyDescent="0.3"/>
    <row r="4865" hidden="1" x14ac:dyDescent="0.3"/>
    <row r="4866" hidden="1" x14ac:dyDescent="0.3"/>
    <row r="4867" hidden="1" x14ac:dyDescent="0.3"/>
    <row r="4868" hidden="1" x14ac:dyDescent="0.3"/>
    <row r="4869" hidden="1" x14ac:dyDescent="0.3"/>
    <row r="4870" hidden="1" x14ac:dyDescent="0.3"/>
    <row r="4871" hidden="1" x14ac:dyDescent="0.3"/>
    <row r="4872" hidden="1" x14ac:dyDescent="0.3"/>
    <row r="4873" hidden="1" x14ac:dyDescent="0.3"/>
    <row r="4874" hidden="1" x14ac:dyDescent="0.3"/>
    <row r="4875" hidden="1" x14ac:dyDescent="0.3"/>
    <row r="4876" hidden="1" x14ac:dyDescent="0.3"/>
    <row r="4877" hidden="1" x14ac:dyDescent="0.3"/>
    <row r="4878" hidden="1" x14ac:dyDescent="0.3"/>
    <row r="4879" hidden="1" x14ac:dyDescent="0.3"/>
    <row r="4880" hidden="1" x14ac:dyDescent="0.3"/>
    <row r="4881" hidden="1" x14ac:dyDescent="0.3"/>
    <row r="4882" hidden="1" x14ac:dyDescent="0.3"/>
    <row r="4883" hidden="1" x14ac:dyDescent="0.3"/>
    <row r="4884" hidden="1" x14ac:dyDescent="0.3"/>
    <row r="4885" hidden="1" x14ac:dyDescent="0.3"/>
    <row r="4886" hidden="1" x14ac:dyDescent="0.3"/>
    <row r="4887" hidden="1" x14ac:dyDescent="0.3"/>
    <row r="4888" hidden="1" x14ac:dyDescent="0.3"/>
    <row r="4889" hidden="1" x14ac:dyDescent="0.3"/>
    <row r="4890" hidden="1" x14ac:dyDescent="0.3"/>
    <row r="4891" hidden="1" x14ac:dyDescent="0.3"/>
    <row r="4892" hidden="1" x14ac:dyDescent="0.3"/>
    <row r="4893" hidden="1" x14ac:dyDescent="0.3"/>
    <row r="4894" hidden="1" x14ac:dyDescent="0.3"/>
    <row r="4895" hidden="1" x14ac:dyDescent="0.3"/>
    <row r="4896" hidden="1" x14ac:dyDescent="0.3"/>
    <row r="4897" hidden="1" x14ac:dyDescent="0.3"/>
    <row r="4898" hidden="1" x14ac:dyDescent="0.3"/>
    <row r="4899" hidden="1" x14ac:dyDescent="0.3"/>
    <row r="4900" hidden="1" x14ac:dyDescent="0.3"/>
    <row r="4901" hidden="1" x14ac:dyDescent="0.3"/>
    <row r="4902" hidden="1" x14ac:dyDescent="0.3"/>
    <row r="4903" hidden="1" x14ac:dyDescent="0.3"/>
    <row r="4904" hidden="1" x14ac:dyDescent="0.3"/>
    <row r="4905" hidden="1" x14ac:dyDescent="0.3"/>
    <row r="4906" hidden="1" x14ac:dyDescent="0.3"/>
    <row r="4907" hidden="1" x14ac:dyDescent="0.3"/>
    <row r="4908" hidden="1" x14ac:dyDescent="0.3"/>
    <row r="4909" hidden="1" x14ac:dyDescent="0.3"/>
    <row r="4910" hidden="1" x14ac:dyDescent="0.3"/>
    <row r="4911" hidden="1" x14ac:dyDescent="0.3"/>
    <row r="4912" hidden="1" x14ac:dyDescent="0.3"/>
    <row r="4913" hidden="1" x14ac:dyDescent="0.3"/>
    <row r="4914" hidden="1" x14ac:dyDescent="0.3"/>
    <row r="4915" hidden="1" x14ac:dyDescent="0.3"/>
    <row r="4916" hidden="1" x14ac:dyDescent="0.3"/>
    <row r="4917" hidden="1" x14ac:dyDescent="0.3"/>
    <row r="4918" hidden="1" x14ac:dyDescent="0.3"/>
    <row r="4919" hidden="1" x14ac:dyDescent="0.3"/>
    <row r="4920" hidden="1" x14ac:dyDescent="0.3"/>
    <row r="4921" hidden="1" x14ac:dyDescent="0.3"/>
    <row r="4922" hidden="1" x14ac:dyDescent="0.3"/>
    <row r="4923" hidden="1" x14ac:dyDescent="0.3"/>
    <row r="4924" hidden="1" x14ac:dyDescent="0.3"/>
    <row r="4925" hidden="1" x14ac:dyDescent="0.3"/>
    <row r="4926" hidden="1" x14ac:dyDescent="0.3"/>
    <row r="4927" hidden="1" x14ac:dyDescent="0.3"/>
    <row r="4928" hidden="1" x14ac:dyDescent="0.3"/>
    <row r="4929" hidden="1" x14ac:dyDescent="0.3"/>
    <row r="4930" hidden="1" x14ac:dyDescent="0.3"/>
    <row r="4931" hidden="1" x14ac:dyDescent="0.3"/>
    <row r="4932" hidden="1" x14ac:dyDescent="0.3"/>
    <row r="4933" hidden="1" x14ac:dyDescent="0.3"/>
    <row r="4934" hidden="1" x14ac:dyDescent="0.3"/>
    <row r="4935" hidden="1" x14ac:dyDescent="0.3"/>
    <row r="4936" hidden="1" x14ac:dyDescent="0.3"/>
    <row r="4937" hidden="1" x14ac:dyDescent="0.3"/>
    <row r="4938" hidden="1" x14ac:dyDescent="0.3"/>
    <row r="4939" hidden="1" x14ac:dyDescent="0.3"/>
    <row r="4940" hidden="1" x14ac:dyDescent="0.3"/>
    <row r="4941" hidden="1" x14ac:dyDescent="0.3"/>
    <row r="4942" hidden="1" x14ac:dyDescent="0.3"/>
    <row r="4943" hidden="1" x14ac:dyDescent="0.3"/>
    <row r="4944" hidden="1" x14ac:dyDescent="0.3"/>
    <row r="4945" hidden="1" x14ac:dyDescent="0.3"/>
    <row r="4946" hidden="1" x14ac:dyDescent="0.3"/>
    <row r="4947" hidden="1" x14ac:dyDescent="0.3"/>
    <row r="4948" hidden="1" x14ac:dyDescent="0.3"/>
    <row r="4949" hidden="1" x14ac:dyDescent="0.3"/>
    <row r="4950" hidden="1" x14ac:dyDescent="0.3"/>
    <row r="4951" hidden="1" x14ac:dyDescent="0.3"/>
    <row r="4952" hidden="1" x14ac:dyDescent="0.3"/>
    <row r="4953" hidden="1" x14ac:dyDescent="0.3"/>
    <row r="4954" hidden="1" x14ac:dyDescent="0.3"/>
    <row r="4955" hidden="1" x14ac:dyDescent="0.3"/>
    <row r="4956" hidden="1" x14ac:dyDescent="0.3"/>
    <row r="4957" hidden="1" x14ac:dyDescent="0.3"/>
    <row r="4958" hidden="1" x14ac:dyDescent="0.3"/>
    <row r="4959" hidden="1" x14ac:dyDescent="0.3"/>
    <row r="4960" hidden="1" x14ac:dyDescent="0.3"/>
    <row r="4961" hidden="1" x14ac:dyDescent="0.3"/>
    <row r="4962" hidden="1" x14ac:dyDescent="0.3"/>
    <row r="4963" hidden="1" x14ac:dyDescent="0.3"/>
    <row r="4964" hidden="1" x14ac:dyDescent="0.3"/>
    <row r="4965" hidden="1" x14ac:dyDescent="0.3"/>
    <row r="4966" hidden="1" x14ac:dyDescent="0.3"/>
    <row r="4967" hidden="1" x14ac:dyDescent="0.3"/>
    <row r="4968" hidden="1" x14ac:dyDescent="0.3"/>
    <row r="4969" hidden="1" x14ac:dyDescent="0.3"/>
    <row r="4970" hidden="1" x14ac:dyDescent="0.3"/>
    <row r="4971" hidden="1" x14ac:dyDescent="0.3"/>
    <row r="4972" hidden="1" x14ac:dyDescent="0.3"/>
    <row r="4973" hidden="1" x14ac:dyDescent="0.3"/>
    <row r="4974" hidden="1" x14ac:dyDescent="0.3"/>
    <row r="4975" hidden="1" x14ac:dyDescent="0.3"/>
    <row r="4976" hidden="1" x14ac:dyDescent="0.3"/>
    <row r="4977" hidden="1" x14ac:dyDescent="0.3"/>
    <row r="4978" hidden="1" x14ac:dyDescent="0.3"/>
    <row r="4979" hidden="1" x14ac:dyDescent="0.3"/>
    <row r="4980" hidden="1" x14ac:dyDescent="0.3"/>
    <row r="4981" hidden="1" x14ac:dyDescent="0.3"/>
    <row r="4982" hidden="1" x14ac:dyDescent="0.3"/>
    <row r="4983" hidden="1" x14ac:dyDescent="0.3"/>
    <row r="4984" hidden="1" x14ac:dyDescent="0.3"/>
    <row r="4985" hidden="1" x14ac:dyDescent="0.3"/>
    <row r="4986" hidden="1" x14ac:dyDescent="0.3"/>
    <row r="4987" hidden="1" x14ac:dyDescent="0.3"/>
    <row r="4988" hidden="1" x14ac:dyDescent="0.3"/>
    <row r="4989" hidden="1" x14ac:dyDescent="0.3"/>
    <row r="4990" hidden="1" x14ac:dyDescent="0.3"/>
    <row r="4991" ht="15" thickTop="1" x14ac:dyDescent="0.3"/>
  </sheetData>
  <mergeCells count="3">
    <mergeCell ref="A1:E1"/>
    <mergeCell ref="A2:D2"/>
    <mergeCell ref="A10:E10"/>
  </mergeCells>
  <conditionalFormatting sqref="D6">
    <cfRule type="expression" dxfId="57" priority="1">
      <formula>$D$6&gt;=$D$7</formula>
    </cfRule>
    <cfRule type="expression" dxfId="56" priority="2">
      <formula>$D$6&lt;$D$7</formula>
    </cfRule>
  </conditionalFormatting>
  <conditionalFormatting sqref="D8">
    <cfRule type="expression" dxfId="55" priority="3">
      <formula>$D$8="Erfüllt"</formula>
    </cfRule>
    <cfRule type="expression" dxfId="54" priority="4">
      <formula>$D$8="Nicht erfüllt"</formula>
    </cfRule>
  </conditionalFormatting>
  <dataValidations count="2">
    <dataValidation type="list" allowBlank="1" showInputMessage="1" showErrorMessage="1" errorTitle="Ungültiger Kalenderanbieter" error="Bitte Apple oder Google auswählen." promptTitle="Kalenderanbieter" prompt="Apple oder Google auswählen." sqref="B12:B21" xr:uid="{572C9C9B-6EA6-461D-9369-5F3AD18F560B}">
      <formula1>"Apple,Google"</formula1>
    </dataValidation>
    <dataValidation type="list" allowBlank="1" showInputMessage="1" showErrorMessage="1" errorTitle="Ungültiger Status" error="Bitte Erfolgreich oder Fehlgeschlagen auswählen." promptTitle="Testergebnis" prompt="Erfolgreich oder Fehlgeschlagen auswählen." sqref="E12:E21" xr:uid="{4C56E652-CFCA-467D-B635-BC7226EE2EA5}">
      <formula1>"Erfolgreich,Fehlgeschlagen"</formula1>
    </dataValidation>
  </dataValidations>
  <pageMargins left="0.7" right="0.7" top="0.78740157499999996" bottom="0.78740157499999996" header="0.3" footer="0.3"/>
  <headerFooter>
    <oddHeader>&amp;L&amp;"DB Neo Office"&amp;11&amp;KEC0016           DB Intern / DB internal&amp;1#_x000D_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4D78-DC90-4F63-9987-5495F6472893}">
  <dimension ref="A1:E4999"/>
  <sheetViews>
    <sheetView showGridLines="0" workbookViewId="0">
      <selection activeCell="BA13" sqref="BA13"/>
    </sheetView>
  </sheetViews>
  <sheetFormatPr baseColWidth="10" defaultRowHeight="14.4" x14ac:dyDescent="0.3"/>
  <cols>
    <col min="1" max="1" width="20" customWidth="1"/>
    <col min="2" max="2" width="21.88671875" customWidth="1"/>
    <col min="3" max="4" width="39" customWidth="1"/>
    <col min="5" max="5" width="19" customWidth="1"/>
    <col min="6" max="50" width="0" hidden="1" customWidth="1"/>
  </cols>
  <sheetData>
    <row r="1" spans="1:5" ht="32.1" customHeight="1" x14ac:dyDescent="0.45">
      <c r="A1" s="4" t="s">
        <v>56</v>
      </c>
      <c r="B1" s="4"/>
      <c r="C1" s="4"/>
      <c r="D1" s="4"/>
      <c r="E1" s="4"/>
    </row>
    <row r="2" spans="1:5" x14ac:dyDescent="0.3">
      <c r="A2" s="5" t="s">
        <v>1</v>
      </c>
      <c r="B2" s="5"/>
      <c r="C2" s="5"/>
      <c r="D2" s="5"/>
      <c r="E2" s="5"/>
    </row>
    <row r="3" spans="1:5" x14ac:dyDescent="0.3">
      <c r="A3" s="31" t="s">
        <v>57</v>
      </c>
      <c r="B3" s="31"/>
      <c r="C3" s="31"/>
      <c r="D3" s="58">
        <f>COUNTA(tblFunktionaleTests[Testfall])</f>
        <v>10</v>
      </c>
      <c r="E3" s="15"/>
    </row>
    <row r="4" spans="1:5" x14ac:dyDescent="0.3">
      <c r="A4" s="31" t="s">
        <v>58</v>
      </c>
      <c r="B4" s="31"/>
      <c r="C4" s="31"/>
      <c r="D4" s="58">
        <f>COUNTIF(tblFunktionaleTests[Status],"Bestanden")</f>
        <v>10</v>
      </c>
      <c r="E4" s="15"/>
    </row>
    <row r="5" spans="1:5" x14ac:dyDescent="0.3">
      <c r="A5" s="31" t="s">
        <v>31</v>
      </c>
      <c r="B5" s="31"/>
      <c r="C5" s="31"/>
      <c r="D5" s="58">
        <f>COUNTIF(tblFunktionaleTests[Status],"Fehlgeschlagen")</f>
        <v>0</v>
      </c>
      <c r="E5" s="15"/>
    </row>
    <row r="6" spans="1:5" x14ac:dyDescent="0.3">
      <c r="A6" s="31" t="s">
        <v>59</v>
      </c>
      <c r="B6" s="31"/>
      <c r="C6" s="31"/>
      <c r="D6" s="59">
        <f>IFERROR(D5/D3,0)</f>
        <v>0</v>
      </c>
      <c r="E6" s="15"/>
    </row>
    <row r="7" spans="1:5" x14ac:dyDescent="0.3">
      <c r="A7" s="31" t="s">
        <v>60</v>
      </c>
      <c r="B7" s="31"/>
      <c r="C7" s="31"/>
      <c r="D7" s="59">
        <v>0.05</v>
      </c>
      <c r="E7" s="15"/>
    </row>
    <row r="8" spans="1:5" x14ac:dyDescent="0.3">
      <c r="A8" s="56" t="s">
        <v>7</v>
      </c>
      <c r="B8" s="56"/>
      <c r="C8" s="56"/>
      <c r="D8" s="57" t="str">
        <f>IF(D6&lt;=D7,"Erfüllt","Nicht erfüllt")</f>
        <v>Erfüllt</v>
      </c>
      <c r="E8" s="15"/>
    </row>
    <row r="9" spans="1:5" x14ac:dyDescent="0.3">
      <c r="A9" s="15"/>
      <c r="B9" s="15"/>
      <c r="C9" s="15"/>
      <c r="D9" s="15"/>
      <c r="E9" s="15"/>
    </row>
    <row r="10" spans="1:5" x14ac:dyDescent="0.3">
      <c r="A10" s="5" t="s">
        <v>15</v>
      </c>
      <c r="B10" s="5"/>
      <c r="C10" s="5"/>
      <c r="D10" s="5"/>
      <c r="E10" s="5"/>
    </row>
    <row r="11" spans="1:5" ht="33.9" customHeight="1" thickBot="1" x14ac:dyDescent="0.35">
      <c r="A11" s="51" t="s">
        <v>38</v>
      </c>
      <c r="B11" s="52" t="s">
        <v>61</v>
      </c>
      <c r="C11" s="52" t="s">
        <v>40</v>
      </c>
      <c r="D11" s="52" t="s">
        <v>41</v>
      </c>
      <c r="E11" s="53" t="s">
        <v>42</v>
      </c>
    </row>
    <row r="12" spans="1:5" ht="28.8" thickTop="1" thickBot="1" x14ac:dyDescent="0.35">
      <c r="A12" s="54" t="s">
        <v>62</v>
      </c>
      <c r="B12" s="18" t="s">
        <v>124</v>
      </c>
      <c r="C12" s="55" t="s">
        <v>125</v>
      </c>
      <c r="D12" s="55" t="s">
        <v>126</v>
      </c>
      <c r="E12" s="2" t="s">
        <v>63</v>
      </c>
    </row>
    <row r="13" spans="1:5" ht="28.8" thickTop="1" thickBot="1" x14ac:dyDescent="0.35">
      <c r="A13" s="54" t="s">
        <v>64</v>
      </c>
      <c r="B13" s="18" t="s">
        <v>127</v>
      </c>
      <c r="C13" s="55" t="s">
        <v>128</v>
      </c>
      <c r="D13" s="55" t="s">
        <v>129</v>
      </c>
      <c r="E13" s="2" t="s">
        <v>63</v>
      </c>
    </row>
    <row r="14" spans="1:5" ht="28.8" thickTop="1" thickBot="1" x14ac:dyDescent="0.35">
      <c r="A14" s="54" t="s">
        <v>65</v>
      </c>
      <c r="B14" s="18" t="s">
        <v>130</v>
      </c>
      <c r="C14" s="55" t="s">
        <v>131</v>
      </c>
      <c r="D14" s="55" t="s">
        <v>132</v>
      </c>
      <c r="E14" s="2" t="s">
        <v>63</v>
      </c>
    </row>
    <row r="15" spans="1:5" ht="28.8" thickTop="1" thickBot="1" x14ac:dyDescent="0.35">
      <c r="A15" s="54" t="s">
        <v>66</v>
      </c>
      <c r="B15" s="18" t="s">
        <v>75</v>
      </c>
      <c r="C15" s="55" t="s">
        <v>133</v>
      </c>
      <c r="D15" s="55" t="s">
        <v>134</v>
      </c>
      <c r="E15" s="2" t="s">
        <v>63</v>
      </c>
    </row>
    <row r="16" spans="1:5" ht="28.8" thickTop="1" thickBot="1" x14ac:dyDescent="0.35">
      <c r="A16" s="54" t="s">
        <v>68</v>
      </c>
      <c r="B16" s="18" t="s">
        <v>74</v>
      </c>
      <c r="C16" s="55" t="s">
        <v>135</v>
      </c>
      <c r="D16" s="55" t="s">
        <v>136</v>
      </c>
      <c r="E16" s="2" t="s">
        <v>63</v>
      </c>
    </row>
    <row r="17" spans="1:5" ht="28.8" thickTop="1" thickBot="1" x14ac:dyDescent="0.35">
      <c r="A17" s="54" t="s">
        <v>69</v>
      </c>
      <c r="B17" s="18" t="s">
        <v>137</v>
      </c>
      <c r="C17" s="55" t="s">
        <v>138</v>
      </c>
      <c r="D17" s="55" t="s">
        <v>139</v>
      </c>
      <c r="E17" s="2" t="s">
        <v>63</v>
      </c>
    </row>
    <row r="18" spans="1:5" ht="28.8" thickTop="1" thickBot="1" x14ac:dyDescent="0.35">
      <c r="A18" s="54" t="s">
        <v>70</v>
      </c>
      <c r="B18" s="18" t="s">
        <v>67</v>
      </c>
      <c r="C18" s="55" t="s">
        <v>140</v>
      </c>
      <c r="D18" s="55" t="s">
        <v>141</v>
      </c>
      <c r="E18" s="2" t="s">
        <v>63</v>
      </c>
    </row>
    <row r="19" spans="1:5" ht="28.8" thickTop="1" thickBot="1" x14ac:dyDescent="0.35">
      <c r="A19" s="54" t="s">
        <v>71</v>
      </c>
      <c r="B19" s="18" t="s">
        <v>142</v>
      </c>
      <c r="C19" s="55" t="s">
        <v>143</v>
      </c>
      <c r="D19" s="55" t="s">
        <v>144</v>
      </c>
      <c r="E19" s="2" t="s">
        <v>63</v>
      </c>
    </row>
    <row r="20" spans="1:5" ht="28.8" thickTop="1" thickBot="1" x14ac:dyDescent="0.35">
      <c r="A20" s="54" t="s">
        <v>72</v>
      </c>
      <c r="B20" s="18" t="s">
        <v>145</v>
      </c>
      <c r="C20" s="55" t="s">
        <v>146</v>
      </c>
      <c r="D20" s="55" t="s">
        <v>147</v>
      </c>
      <c r="E20" s="2" t="s">
        <v>63</v>
      </c>
    </row>
    <row r="21" spans="1:5" ht="28.2" thickTop="1" x14ac:dyDescent="0.3">
      <c r="A21" s="62" t="s">
        <v>73</v>
      </c>
      <c r="B21" s="21" t="s">
        <v>148</v>
      </c>
      <c r="C21" s="63" t="s">
        <v>149</v>
      </c>
      <c r="D21" s="63" t="s">
        <v>150</v>
      </c>
      <c r="E21" s="3" t="s">
        <v>63</v>
      </c>
    </row>
    <row r="22" spans="1:5" hidden="1" x14ac:dyDescent="0.3"/>
    <row r="23" spans="1:5" hidden="1" x14ac:dyDescent="0.3"/>
    <row r="24" spans="1:5" hidden="1" x14ac:dyDescent="0.3"/>
    <row r="25" spans="1:5" hidden="1" x14ac:dyDescent="0.3"/>
    <row r="26" spans="1:5" hidden="1" x14ac:dyDescent="0.3"/>
    <row r="27" spans="1:5" hidden="1" x14ac:dyDescent="0.3"/>
    <row r="28" spans="1:5" hidden="1" x14ac:dyDescent="0.3"/>
    <row r="29" spans="1:5" hidden="1" x14ac:dyDescent="0.3"/>
    <row r="30" spans="1:5" hidden="1" x14ac:dyDescent="0.3"/>
    <row r="31" spans="1:5" hidden="1" x14ac:dyDescent="0.3"/>
    <row r="32" spans="1:5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2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  <row r="380" hidden="1" x14ac:dyDescent="0.3"/>
    <row r="381" hidden="1" x14ac:dyDescent="0.3"/>
    <row r="382" hidden="1" x14ac:dyDescent="0.3"/>
    <row r="383" hidden="1" x14ac:dyDescent="0.3"/>
    <row r="384" hidden="1" x14ac:dyDescent="0.3"/>
    <row r="385" hidden="1" x14ac:dyDescent="0.3"/>
    <row r="386" hidden="1" x14ac:dyDescent="0.3"/>
    <row r="387" hidden="1" x14ac:dyDescent="0.3"/>
    <row r="388" hidden="1" x14ac:dyDescent="0.3"/>
    <row r="389" hidden="1" x14ac:dyDescent="0.3"/>
    <row r="390" hidden="1" x14ac:dyDescent="0.3"/>
    <row r="391" hidden="1" x14ac:dyDescent="0.3"/>
    <row r="392" hidden="1" x14ac:dyDescent="0.3"/>
    <row r="393" hidden="1" x14ac:dyDescent="0.3"/>
    <row r="394" hidden="1" x14ac:dyDescent="0.3"/>
    <row r="395" hidden="1" x14ac:dyDescent="0.3"/>
    <row r="396" hidden="1" x14ac:dyDescent="0.3"/>
    <row r="397" hidden="1" x14ac:dyDescent="0.3"/>
    <row r="398" hidden="1" x14ac:dyDescent="0.3"/>
    <row r="399" hidden="1" x14ac:dyDescent="0.3"/>
    <row r="400" hidden="1" x14ac:dyDescent="0.3"/>
    <row r="401" hidden="1" x14ac:dyDescent="0.3"/>
    <row r="402" hidden="1" x14ac:dyDescent="0.3"/>
    <row r="403" hidden="1" x14ac:dyDescent="0.3"/>
    <row r="404" hidden="1" x14ac:dyDescent="0.3"/>
    <row r="405" hidden="1" x14ac:dyDescent="0.3"/>
    <row r="406" hidden="1" x14ac:dyDescent="0.3"/>
    <row r="407" hidden="1" x14ac:dyDescent="0.3"/>
    <row r="408" hidden="1" x14ac:dyDescent="0.3"/>
    <row r="409" hidden="1" x14ac:dyDescent="0.3"/>
    <row r="410" hidden="1" x14ac:dyDescent="0.3"/>
    <row r="411" hidden="1" x14ac:dyDescent="0.3"/>
    <row r="412" hidden="1" x14ac:dyDescent="0.3"/>
    <row r="413" hidden="1" x14ac:dyDescent="0.3"/>
    <row r="414" hidden="1" x14ac:dyDescent="0.3"/>
    <row r="415" hidden="1" x14ac:dyDescent="0.3"/>
    <row r="416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  <row r="427" hidden="1" x14ac:dyDescent="0.3"/>
    <row r="428" hidden="1" x14ac:dyDescent="0.3"/>
    <row r="429" hidden="1" x14ac:dyDescent="0.3"/>
    <row r="430" hidden="1" x14ac:dyDescent="0.3"/>
    <row r="431" hidden="1" x14ac:dyDescent="0.3"/>
    <row r="432" hidden="1" x14ac:dyDescent="0.3"/>
    <row r="433" hidden="1" x14ac:dyDescent="0.3"/>
    <row r="434" hidden="1" x14ac:dyDescent="0.3"/>
    <row r="435" hidden="1" x14ac:dyDescent="0.3"/>
    <row r="436" hidden="1" x14ac:dyDescent="0.3"/>
    <row r="437" hidden="1" x14ac:dyDescent="0.3"/>
    <row r="438" hidden="1" x14ac:dyDescent="0.3"/>
    <row r="439" hidden="1" x14ac:dyDescent="0.3"/>
    <row r="440" hidden="1" x14ac:dyDescent="0.3"/>
    <row r="441" hidden="1" x14ac:dyDescent="0.3"/>
    <row r="442" hidden="1" x14ac:dyDescent="0.3"/>
    <row r="443" hidden="1" x14ac:dyDescent="0.3"/>
    <row r="444" hidden="1" x14ac:dyDescent="0.3"/>
    <row r="445" hidden="1" x14ac:dyDescent="0.3"/>
    <row r="446" hidden="1" x14ac:dyDescent="0.3"/>
    <row r="447" hidden="1" x14ac:dyDescent="0.3"/>
    <row r="448" hidden="1" x14ac:dyDescent="0.3"/>
    <row r="449" hidden="1" x14ac:dyDescent="0.3"/>
    <row r="450" hidden="1" x14ac:dyDescent="0.3"/>
    <row r="451" hidden="1" x14ac:dyDescent="0.3"/>
    <row r="452" hidden="1" x14ac:dyDescent="0.3"/>
    <row r="453" hidden="1" x14ac:dyDescent="0.3"/>
    <row r="454" hidden="1" x14ac:dyDescent="0.3"/>
    <row r="455" hidden="1" x14ac:dyDescent="0.3"/>
    <row r="456" hidden="1" x14ac:dyDescent="0.3"/>
    <row r="457" hidden="1" x14ac:dyDescent="0.3"/>
    <row r="458" hidden="1" x14ac:dyDescent="0.3"/>
    <row r="459" hidden="1" x14ac:dyDescent="0.3"/>
    <row r="460" hidden="1" x14ac:dyDescent="0.3"/>
    <row r="461" hidden="1" x14ac:dyDescent="0.3"/>
    <row r="462" hidden="1" x14ac:dyDescent="0.3"/>
    <row r="463" hidden="1" x14ac:dyDescent="0.3"/>
    <row r="464" hidden="1" x14ac:dyDescent="0.3"/>
    <row r="465" hidden="1" x14ac:dyDescent="0.3"/>
    <row r="466" hidden="1" x14ac:dyDescent="0.3"/>
    <row r="467" hidden="1" x14ac:dyDescent="0.3"/>
    <row r="468" hidden="1" x14ac:dyDescent="0.3"/>
    <row r="469" hidden="1" x14ac:dyDescent="0.3"/>
    <row r="470" hidden="1" x14ac:dyDescent="0.3"/>
    <row r="471" hidden="1" x14ac:dyDescent="0.3"/>
    <row r="472" hidden="1" x14ac:dyDescent="0.3"/>
    <row r="473" hidden="1" x14ac:dyDescent="0.3"/>
    <row r="474" hidden="1" x14ac:dyDescent="0.3"/>
    <row r="475" hidden="1" x14ac:dyDescent="0.3"/>
    <row r="476" hidden="1" x14ac:dyDescent="0.3"/>
    <row r="477" hidden="1" x14ac:dyDescent="0.3"/>
    <row r="478" hidden="1" x14ac:dyDescent="0.3"/>
    <row r="479" hidden="1" x14ac:dyDescent="0.3"/>
    <row r="480" hidden="1" x14ac:dyDescent="0.3"/>
    <row r="481" hidden="1" x14ac:dyDescent="0.3"/>
    <row r="482" hidden="1" x14ac:dyDescent="0.3"/>
    <row r="483" hidden="1" x14ac:dyDescent="0.3"/>
    <row r="484" hidden="1" x14ac:dyDescent="0.3"/>
    <row r="485" hidden="1" x14ac:dyDescent="0.3"/>
    <row r="486" hidden="1" x14ac:dyDescent="0.3"/>
    <row r="487" hidden="1" x14ac:dyDescent="0.3"/>
    <row r="488" hidden="1" x14ac:dyDescent="0.3"/>
    <row r="489" hidden="1" x14ac:dyDescent="0.3"/>
    <row r="490" hidden="1" x14ac:dyDescent="0.3"/>
    <row r="491" hidden="1" x14ac:dyDescent="0.3"/>
    <row r="492" hidden="1" x14ac:dyDescent="0.3"/>
    <row r="493" hidden="1" x14ac:dyDescent="0.3"/>
    <row r="494" hidden="1" x14ac:dyDescent="0.3"/>
    <row r="495" hidden="1" x14ac:dyDescent="0.3"/>
    <row r="496" hidden="1" x14ac:dyDescent="0.3"/>
    <row r="497" hidden="1" x14ac:dyDescent="0.3"/>
    <row r="498" hidden="1" x14ac:dyDescent="0.3"/>
    <row r="499" hidden="1" x14ac:dyDescent="0.3"/>
    <row r="500" hidden="1" x14ac:dyDescent="0.3"/>
    <row r="501" hidden="1" x14ac:dyDescent="0.3"/>
    <row r="502" hidden="1" x14ac:dyDescent="0.3"/>
    <row r="503" hidden="1" x14ac:dyDescent="0.3"/>
    <row r="504" hidden="1" x14ac:dyDescent="0.3"/>
    <row r="505" hidden="1" x14ac:dyDescent="0.3"/>
    <row r="506" hidden="1" x14ac:dyDescent="0.3"/>
    <row r="507" hidden="1" x14ac:dyDescent="0.3"/>
    <row r="508" hidden="1" x14ac:dyDescent="0.3"/>
    <row r="509" hidden="1" x14ac:dyDescent="0.3"/>
    <row r="510" hidden="1" x14ac:dyDescent="0.3"/>
    <row r="511" hidden="1" x14ac:dyDescent="0.3"/>
    <row r="51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  <row r="553" hidden="1" x14ac:dyDescent="0.3"/>
    <row r="554" hidden="1" x14ac:dyDescent="0.3"/>
    <row r="555" hidden="1" x14ac:dyDescent="0.3"/>
    <row r="556" hidden="1" x14ac:dyDescent="0.3"/>
    <row r="557" hidden="1" x14ac:dyDescent="0.3"/>
    <row r="558" hidden="1" x14ac:dyDescent="0.3"/>
    <row r="559" hidden="1" x14ac:dyDescent="0.3"/>
    <row r="560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2" hidden="1" x14ac:dyDescent="0.3"/>
    <row r="583" hidden="1" x14ac:dyDescent="0.3"/>
    <row r="584" hidden="1" x14ac:dyDescent="0.3"/>
    <row r="585" hidden="1" x14ac:dyDescent="0.3"/>
    <row r="586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2" hidden="1" x14ac:dyDescent="0.3"/>
    <row r="593" hidden="1" x14ac:dyDescent="0.3"/>
    <row r="594" hidden="1" x14ac:dyDescent="0.3"/>
    <row r="595" hidden="1" x14ac:dyDescent="0.3"/>
    <row r="596" hidden="1" x14ac:dyDescent="0.3"/>
    <row r="597" hidden="1" x14ac:dyDescent="0.3"/>
    <row r="598" hidden="1" x14ac:dyDescent="0.3"/>
    <row r="599" hidden="1" x14ac:dyDescent="0.3"/>
    <row r="600" hidden="1" x14ac:dyDescent="0.3"/>
    <row r="601" hidden="1" x14ac:dyDescent="0.3"/>
    <row r="602" hidden="1" x14ac:dyDescent="0.3"/>
    <row r="603" hidden="1" x14ac:dyDescent="0.3"/>
    <row r="604" hidden="1" x14ac:dyDescent="0.3"/>
    <row r="605" hidden="1" x14ac:dyDescent="0.3"/>
    <row r="606" hidden="1" x14ac:dyDescent="0.3"/>
    <row r="607" hidden="1" x14ac:dyDescent="0.3"/>
    <row r="608" hidden="1" x14ac:dyDescent="0.3"/>
    <row r="609" hidden="1" x14ac:dyDescent="0.3"/>
    <row r="610" hidden="1" x14ac:dyDescent="0.3"/>
    <row r="611" hidden="1" x14ac:dyDescent="0.3"/>
    <row r="612" hidden="1" x14ac:dyDescent="0.3"/>
    <row r="613" hidden="1" x14ac:dyDescent="0.3"/>
    <row r="614" hidden="1" x14ac:dyDescent="0.3"/>
    <row r="615" hidden="1" x14ac:dyDescent="0.3"/>
    <row r="616" hidden="1" x14ac:dyDescent="0.3"/>
    <row r="617" hidden="1" x14ac:dyDescent="0.3"/>
    <row r="618" hidden="1" x14ac:dyDescent="0.3"/>
    <row r="619" hidden="1" x14ac:dyDescent="0.3"/>
    <row r="620" hidden="1" x14ac:dyDescent="0.3"/>
    <row r="621" hidden="1" x14ac:dyDescent="0.3"/>
    <row r="622" hidden="1" x14ac:dyDescent="0.3"/>
    <row r="623" hidden="1" x14ac:dyDescent="0.3"/>
    <row r="624" hidden="1" x14ac:dyDescent="0.3"/>
    <row r="625" hidden="1" x14ac:dyDescent="0.3"/>
    <row r="626" hidden="1" x14ac:dyDescent="0.3"/>
    <row r="627" hidden="1" x14ac:dyDescent="0.3"/>
    <row r="628" hidden="1" x14ac:dyDescent="0.3"/>
    <row r="629" hidden="1" x14ac:dyDescent="0.3"/>
    <row r="630" hidden="1" x14ac:dyDescent="0.3"/>
    <row r="631" hidden="1" x14ac:dyDescent="0.3"/>
    <row r="632" hidden="1" x14ac:dyDescent="0.3"/>
    <row r="633" hidden="1" x14ac:dyDescent="0.3"/>
    <row r="634" hidden="1" x14ac:dyDescent="0.3"/>
    <row r="635" hidden="1" x14ac:dyDescent="0.3"/>
    <row r="636" hidden="1" x14ac:dyDescent="0.3"/>
    <row r="637" hidden="1" x14ac:dyDescent="0.3"/>
    <row r="638" hidden="1" x14ac:dyDescent="0.3"/>
    <row r="639" hidden="1" x14ac:dyDescent="0.3"/>
    <row r="640" hidden="1" x14ac:dyDescent="0.3"/>
    <row r="641" hidden="1" x14ac:dyDescent="0.3"/>
    <row r="642" hidden="1" x14ac:dyDescent="0.3"/>
    <row r="643" hidden="1" x14ac:dyDescent="0.3"/>
    <row r="644" hidden="1" x14ac:dyDescent="0.3"/>
    <row r="645" hidden="1" x14ac:dyDescent="0.3"/>
    <row r="646" hidden="1" x14ac:dyDescent="0.3"/>
    <row r="647" hidden="1" x14ac:dyDescent="0.3"/>
    <row r="648" hidden="1" x14ac:dyDescent="0.3"/>
    <row r="649" hidden="1" x14ac:dyDescent="0.3"/>
    <row r="650" hidden="1" x14ac:dyDescent="0.3"/>
    <row r="651" hidden="1" x14ac:dyDescent="0.3"/>
    <row r="652" hidden="1" x14ac:dyDescent="0.3"/>
    <row r="653" hidden="1" x14ac:dyDescent="0.3"/>
    <row r="654" hidden="1" x14ac:dyDescent="0.3"/>
    <row r="655" hidden="1" x14ac:dyDescent="0.3"/>
    <row r="656" hidden="1" x14ac:dyDescent="0.3"/>
    <row r="657" hidden="1" x14ac:dyDescent="0.3"/>
    <row r="658" hidden="1" x14ac:dyDescent="0.3"/>
    <row r="659" hidden="1" x14ac:dyDescent="0.3"/>
    <row r="660" hidden="1" x14ac:dyDescent="0.3"/>
    <row r="661" hidden="1" x14ac:dyDescent="0.3"/>
    <row r="662" hidden="1" x14ac:dyDescent="0.3"/>
    <row r="663" hidden="1" x14ac:dyDescent="0.3"/>
    <row r="664" hidden="1" x14ac:dyDescent="0.3"/>
    <row r="665" hidden="1" x14ac:dyDescent="0.3"/>
    <row r="666" hidden="1" x14ac:dyDescent="0.3"/>
    <row r="667" hidden="1" x14ac:dyDescent="0.3"/>
    <row r="668" hidden="1" x14ac:dyDescent="0.3"/>
    <row r="669" hidden="1" x14ac:dyDescent="0.3"/>
    <row r="670" hidden="1" x14ac:dyDescent="0.3"/>
    <row r="671" hidden="1" x14ac:dyDescent="0.3"/>
    <row r="672" hidden="1" x14ac:dyDescent="0.3"/>
    <row r="673" hidden="1" x14ac:dyDescent="0.3"/>
    <row r="674" hidden="1" x14ac:dyDescent="0.3"/>
    <row r="675" hidden="1" x14ac:dyDescent="0.3"/>
    <row r="676" hidden="1" x14ac:dyDescent="0.3"/>
    <row r="677" hidden="1" x14ac:dyDescent="0.3"/>
    <row r="678" hidden="1" x14ac:dyDescent="0.3"/>
    <row r="679" hidden="1" x14ac:dyDescent="0.3"/>
    <row r="680" hidden="1" x14ac:dyDescent="0.3"/>
    <row r="681" hidden="1" x14ac:dyDescent="0.3"/>
    <row r="682" hidden="1" x14ac:dyDescent="0.3"/>
    <row r="683" hidden="1" x14ac:dyDescent="0.3"/>
    <row r="684" hidden="1" x14ac:dyDescent="0.3"/>
    <row r="685" hidden="1" x14ac:dyDescent="0.3"/>
    <row r="686" hidden="1" x14ac:dyDescent="0.3"/>
    <row r="687" hidden="1" x14ac:dyDescent="0.3"/>
    <row r="688" hidden="1" x14ac:dyDescent="0.3"/>
    <row r="689" hidden="1" x14ac:dyDescent="0.3"/>
    <row r="690" hidden="1" x14ac:dyDescent="0.3"/>
    <row r="691" hidden="1" x14ac:dyDescent="0.3"/>
    <row r="692" hidden="1" x14ac:dyDescent="0.3"/>
    <row r="693" hidden="1" x14ac:dyDescent="0.3"/>
    <row r="694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5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1" hidden="1" x14ac:dyDescent="0.3"/>
    <row r="712" hidden="1" x14ac:dyDescent="0.3"/>
    <row r="713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hidden="1" x14ac:dyDescent="0.3"/>
    <row r="722" hidden="1" x14ac:dyDescent="0.3"/>
    <row r="723" hidden="1" x14ac:dyDescent="0.3"/>
    <row r="724" hidden="1" x14ac:dyDescent="0.3"/>
    <row r="725" hidden="1" x14ac:dyDescent="0.3"/>
    <row r="726" hidden="1" x14ac:dyDescent="0.3"/>
    <row r="727" hidden="1" x14ac:dyDescent="0.3"/>
    <row r="728" hidden="1" x14ac:dyDescent="0.3"/>
    <row r="729" hidden="1" x14ac:dyDescent="0.3"/>
    <row r="730" hidden="1" x14ac:dyDescent="0.3"/>
    <row r="731" hidden="1" x14ac:dyDescent="0.3"/>
    <row r="732" hidden="1" x14ac:dyDescent="0.3"/>
    <row r="733" hidden="1" x14ac:dyDescent="0.3"/>
    <row r="734" hidden="1" x14ac:dyDescent="0.3"/>
    <row r="735" hidden="1" x14ac:dyDescent="0.3"/>
    <row r="736" hidden="1" x14ac:dyDescent="0.3"/>
    <row r="737" hidden="1" x14ac:dyDescent="0.3"/>
    <row r="738" hidden="1" x14ac:dyDescent="0.3"/>
    <row r="739" hidden="1" x14ac:dyDescent="0.3"/>
    <row r="740" hidden="1" x14ac:dyDescent="0.3"/>
    <row r="741" hidden="1" x14ac:dyDescent="0.3"/>
    <row r="742" hidden="1" x14ac:dyDescent="0.3"/>
    <row r="743" hidden="1" x14ac:dyDescent="0.3"/>
    <row r="744" hidden="1" x14ac:dyDescent="0.3"/>
    <row r="745" hidden="1" x14ac:dyDescent="0.3"/>
    <row r="746" hidden="1" x14ac:dyDescent="0.3"/>
    <row r="747" hidden="1" x14ac:dyDescent="0.3"/>
    <row r="748" hidden="1" x14ac:dyDescent="0.3"/>
    <row r="749" hidden="1" x14ac:dyDescent="0.3"/>
    <row r="750" hidden="1" x14ac:dyDescent="0.3"/>
    <row r="751" hidden="1" x14ac:dyDescent="0.3"/>
    <row r="752" hidden="1" x14ac:dyDescent="0.3"/>
    <row r="753" hidden="1" x14ac:dyDescent="0.3"/>
    <row r="754" hidden="1" x14ac:dyDescent="0.3"/>
    <row r="755" hidden="1" x14ac:dyDescent="0.3"/>
    <row r="756" hidden="1" x14ac:dyDescent="0.3"/>
    <row r="757" hidden="1" x14ac:dyDescent="0.3"/>
    <row r="758" hidden="1" x14ac:dyDescent="0.3"/>
    <row r="759" hidden="1" x14ac:dyDescent="0.3"/>
    <row r="760" hidden="1" x14ac:dyDescent="0.3"/>
    <row r="761" hidden="1" x14ac:dyDescent="0.3"/>
    <row r="762" hidden="1" x14ac:dyDescent="0.3"/>
    <row r="763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2" hidden="1" x14ac:dyDescent="0.3"/>
    <row r="773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79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5" hidden="1" x14ac:dyDescent="0.3"/>
    <row r="786" hidden="1" x14ac:dyDescent="0.3"/>
    <row r="787" hidden="1" x14ac:dyDescent="0.3"/>
    <row r="788" hidden="1" x14ac:dyDescent="0.3"/>
    <row r="789" hidden="1" x14ac:dyDescent="0.3"/>
    <row r="790" hidden="1" x14ac:dyDescent="0.3"/>
    <row r="791" hidden="1" x14ac:dyDescent="0.3"/>
    <row r="792" hidden="1" x14ac:dyDescent="0.3"/>
    <row r="793" hidden="1" x14ac:dyDescent="0.3"/>
    <row r="794" hidden="1" x14ac:dyDescent="0.3"/>
    <row r="795" hidden="1" x14ac:dyDescent="0.3"/>
    <row r="796" hidden="1" x14ac:dyDescent="0.3"/>
    <row r="797" hidden="1" x14ac:dyDescent="0.3"/>
    <row r="798" hidden="1" x14ac:dyDescent="0.3"/>
    <row r="799" hidden="1" x14ac:dyDescent="0.3"/>
    <row r="800" hidden="1" x14ac:dyDescent="0.3"/>
    <row r="801" hidden="1" x14ac:dyDescent="0.3"/>
    <row r="802" hidden="1" x14ac:dyDescent="0.3"/>
    <row r="803" hidden="1" x14ac:dyDescent="0.3"/>
    <row r="804" hidden="1" x14ac:dyDescent="0.3"/>
    <row r="805" hidden="1" x14ac:dyDescent="0.3"/>
    <row r="806" hidden="1" x14ac:dyDescent="0.3"/>
    <row r="807" hidden="1" x14ac:dyDescent="0.3"/>
    <row r="808" hidden="1" x14ac:dyDescent="0.3"/>
    <row r="809" hidden="1" x14ac:dyDescent="0.3"/>
    <row r="810" hidden="1" x14ac:dyDescent="0.3"/>
    <row r="811" hidden="1" x14ac:dyDescent="0.3"/>
    <row r="812" hidden="1" x14ac:dyDescent="0.3"/>
    <row r="813" hidden="1" x14ac:dyDescent="0.3"/>
    <row r="814" hidden="1" x14ac:dyDescent="0.3"/>
    <row r="815" hidden="1" x14ac:dyDescent="0.3"/>
    <row r="816" hidden="1" x14ac:dyDescent="0.3"/>
    <row r="817" hidden="1" x14ac:dyDescent="0.3"/>
    <row r="818" hidden="1" x14ac:dyDescent="0.3"/>
    <row r="819" hidden="1" x14ac:dyDescent="0.3"/>
    <row r="820" hidden="1" x14ac:dyDescent="0.3"/>
    <row r="821" hidden="1" x14ac:dyDescent="0.3"/>
    <row r="822" hidden="1" x14ac:dyDescent="0.3"/>
    <row r="823" hidden="1" x14ac:dyDescent="0.3"/>
    <row r="824" hidden="1" x14ac:dyDescent="0.3"/>
    <row r="825" hidden="1" x14ac:dyDescent="0.3"/>
    <row r="826" hidden="1" x14ac:dyDescent="0.3"/>
    <row r="827" hidden="1" x14ac:dyDescent="0.3"/>
    <row r="828" hidden="1" x14ac:dyDescent="0.3"/>
    <row r="829" hidden="1" x14ac:dyDescent="0.3"/>
    <row r="830" hidden="1" x14ac:dyDescent="0.3"/>
    <row r="831" hidden="1" x14ac:dyDescent="0.3"/>
    <row r="832" hidden="1" x14ac:dyDescent="0.3"/>
    <row r="833" hidden="1" x14ac:dyDescent="0.3"/>
    <row r="834" hidden="1" x14ac:dyDescent="0.3"/>
    <row r="835" hidden="1" x14ac:dyDescent="0.3"/>
    <row r="836" hidden="1" x14ac:dyDescent="0.3"/>
    <row r="837" hidden="1" x14ac:dyDescent="0.3"/>
    <row r="838" hidden="1" x14ac:dyDescent="0.3"/>
    <row r="839" hidden="1" x14ac:dyDescent="0.3"/>
    <row r="840" hidden="1" x14ac:dyDescent="0.3"/>
    <row r="841" hidden="1" x14ac:dyDescent="0.3"/>
    <row r="842" hidden="1" x14ac:dyDescent="0.3"/>
    <row r="843" hidden="1" x14ac:dyDescent="0.3"/>
    <row r="844" hidden="1" x14ac:dyDescent="0.3"/>
    <row r="845" hidden="1" x14ac:dyDescent="0.3"/>
    <row r="846" hidden="1" x14ac:dyDescent="0.3"/>
    <row r="847" hidden="1" x14ac:dyDescent="0.3"/>
    <row r="848" hidden="1" x14ac:dyDescent="0.3"/>
    <row r="849" hidden="1" x14ac:dyDescent="0.3"/>
    <row r="850" hidden="1" x14ac:dyDescent="0.3"/>
    <row r="851" hidden="1" x14ac:dyDescent="0.3"/>
    <row r="852" hidden="1" x14ac:dyDescent="0.3"/>
    <row r="853" hidden="1" x14ac:dyDescent="0.3"/>
    <row r="854" hidden="1" x14ac:dyDescent="0.3"/>
    <row r="855" hidden="1" x14ac:dyDescent="0.3"/>
    <row r="856" hidden="1" x14ac:dyDescent="0.3"/>
    <row r="857" hidden="1" x14ac:dyDescent="0.3"/>
    <row r="858" hidden="1" x14ac:dyDescent="0.3"/>
    <row r="859" hidden="1" x14ac:dyDescent="0.3"/>
    <row r="860" hidden="1" x14ac:dyDescent="0.3"/>
    <row r="861" hidden="1" x14ac:dyDescent="0.3"/>
    <row r="862" hidden="1" x14ac:dyDescent="0.3"/>
    <row r="863" hidden="1" x14ac:dyDescent="0.3"/>
    <row r="864" hidden="1" x14ac:dyDescent="0.3"/>
    <row r="865" hidden="1" x14ac:dyDescent="0.3"/>
    <row r="866" hidden="1" x14ac:dyDescent="0.3"/>
    <row r="867" hidden="1" x14ac:dyDescent="0.3"/>
    <row r="868" hidden="1" x14ac:dyDescent="0.3"/>
    <row r="869" hidden="1" x14ac:dyDescent="0.3"/>
    <row r="870" hidden="1" x14ac:dyDescent="0.3"/>
    <row r="871" hidden="1" x14ac:dyDescent="0.3"/>
    <row r="872" hidden="1" x14ac:dyDescent="0.3"/>
    <row r="873" hidden="1" x14ac:dyDescent="0.3"/>
    <row r="874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3" hidden="1" x14ac:dyDescent="0.3"/>
    <row r="884" hidden="1" x14ac:dyDescent="0.3"/>
    <row r="885" hidden="1" x14ac:dyDescent="0.3"/>
    <row r="886" hidden="1" x14ac:dyDescent="0.3"/>
    <row r="887" hidden="1" x14ac:dyDescent="0.3"/>
    <row r="888" hidden="1" x14ac:dyDescent="0.3"/>
    <row r="889" hidden="1" x14ac:dyDescent="0.3"/>
    <row r="890" hidden="1" x14ac:dyDescent="0.3"/>
    <row r="891" hidden="1" x14ac:dyDescent="0.3"/>
    <row r="892" hidden="1" x14ac:dyDescent="0.3"/>
    <row r="893" hidden="1" x14ac:dyDescent="0.3"/>
    <row r="894" hidden="1" x14ac:dyDescent="0.3"/>
    <row r="895" hidden="1" x14ac:dyDescent="0.3"/>
    <row r="896" hidden="1" x14ac:dyDescent="0.3"/>
    <row r="897" hidden="1" x14ac:dyDescent="0.3"/>
    <row r="898" hidden="1" x14ac:dyDescent="0.3"/>
    <row r="899" hidden="1" x14ac:dyDescent="0.3"/>
    <row r="900" hidden="1" x14ac:dyDescent="0.3"/>
    <row r="901" hidden="1" x14ac:dyDescent="0.3"/>
    <row r="902" hidden="1" x14ac:dyDescent="0.3"/>
    <row r="903" hidden="1" x14ac:dyDescent="0.3"/>
    <row r="904" hidden="1" x14ac:dyDescent="0.3"/>
    <row r="905" hidden="1" x14ac:dyDescent="0.3"/>
    <row r="906" hidden="1" x14ac:dyDescent="0.3"/>
    <row r="907" hidden="1" x14ac:dyDescent="0.3"/>
    <row r="908" hidden="1" x14ac:dyDescent="0.3"/>
    <row r="909" hidden="1" x14ac:dyDescent="0.3"/>
    <row r="910" hidden="1" x14ac:dyDescent="0.3"/>
    <row r="911" hidden="1" x14ac:dyDescent="0.3"/>
    <row r="912" hidden="1" x14ac:dyDescent="0.3"/>
    <row r="913" hidden="1" x14ac:dyDescent="0.3"/>
    <row r="914" hidden="1" x14ac:dyDescent="0.3"/>
    <row r="915" hidden="1" x14ac:dyDescent="0.3"/>
    <row r="916" hidden="1" x14ac:dyDescent="0.3"/>
    <row r="917" hidden="1" x14ac:dyDescent="0.3"/>
    <row r="918" hidden="1" x14ac:dyDescent="0.3"/>
    <row r="919" hidden="1" x14ac:dyDescent="0.3"/>
    <row r="920" hidden="1" x14ac:dyDescent="0.3"/>
    <row r="921" hidden="1" x14ac:dyDescent="0.3"/>
    <row r="922" hidden="1" x14ac:dyDescent="0.3"/>
    <row r="923" hidden="1" x14ac:dyDescent="0.3"/>
    <row r="924" hidden="1" x14ac:dyDescent="0.3"/>
    <row r="925" hidden="1" x14ac:dyDescent="0.3"/>
    <row r="926" hidden="1" x14ac:dyDescent="0.3"/>
    <row r="927" hidden="1" x14ac:dyDescent="0.3"/>
    <row r="928" hidden="1" x14ac:dyDescent="0.3"/>
    <row r="929" hidden="1" x14ac:dyDescent="0.3"/>
    <row r="930" hidden="1" x14ac:dyDescent="0.3"/>
    <row r="931" hidden="1" x14ac:dyDescent="0.3"/>
    <row r="932" hidden="1" x14ac:dyDescent="0.3"/>
    <row r="933" hidden="1" x14ac:dyDescent="0.3"/>
    <row r="934" hidden="1" x14ac:dyDescent="0.3"/>
    <row r="935" hidden="1" x14ac:dyDescent="0.3"/>
    <row r="936" hidden="1" x14ac:dyDescent="0.3"/>
    <row r="937" hidden="1" x14ac:dyDescent="0.3"/>
    <row r="938" hidden="1" x14ac:dyDescent="0.3"/>
    <row r="939" hidden="1" x14ac:dyDescent="0.3"/>
    <row r="940" hidden="1" x14ac:dyDescent="0.3"/>
    <row r="941" hidden="1" x14ac:dyDescent="0.3"/>
    <row r="942" hidden="1" x14ac:dyDescent="0.3"/>
    <row r="943" hidden="1" x14ac:dyDescent="0.3"/>
    <row r="944" hidden="1" x14ac:dyDescent="0.3"/>
    <row r="945" hidden="1" x14ac:dyDescent="0.3"/>
    <row r="946" hidden="1" x14ac:dyDescent="0.3"/>
    <row r="947" hidden="1" x14ac:dyDescent="0.3"/>
    <row r="948" hidden="1" x14ac:dyDescent="0.3"/>
    <row r="949" hidden="1" x14ac:dyDescent="0.3"/>
    <row r="950" hidden="1" x14ac:dyDescent="0.3"/>
    <row r="951" hidden="1" x14ac:dyDescent="0.3"/>
    <row r="952" hidden="1" x14ac:dyDescent="0.3"/>
    <row r="953" hidden="1" x14ac:dyDescent="0.3"/>
    <row r="954" hidden="1" x14ac:dyDescent="0.3"/>
    <row r="955" hidden="1" x14ac:dyDescent="0.3"/>
    <row r="956" hidden="1" x14ac:dyDescent="0.3"/>
    <row r="957" hidden="1" x14ac:dyDescent="0.3"/>
    <row r="958" hidden="1" x14ac:dyDescent="0.3"/>
    <row r="959" hidden="1" x14ac:dyDescent="0.3"/>
    <row r="960" hidden="1" x14ac:dyDescent="0.3"/>
    <row r="961" hidden="1" x14ac:dyDescent="0.3"/>
    <row r="962" hidden="1" x14ac:dyDescent="0.3"/>
    <row r="963" hidden="1" x14ac:dyDescent="0.3"/>
    <row r="964" hidden="1" x14ac:dyDescent="0.3"/>
    <row r="965" hidden="1" x14ac:dyDescent="0.3"/>
    <row r="966" hidden="1" x14ac:dyDescent="0.3"/>
    <row r="967" hidden="1" x14ac:dyDescent="0.3"/>
    <row r="968" hidden="1" x14ac:dyDescent="0.3"/>
    <row r="969" hidden="1" x14ac:dyDescent="0.3"/>
    <row r="970" hidden="1" x14ac:dyDescent="0.3"/>
    <row r="971" hidden="1" x14ac:dyDescent="0.3"/>
    <row r="972" hidden="1" x14ac:dyDescent="0.3"/>
    <row r="973" hidden="1" x14ac:dyDescent="0.3"/>
    <row r="974" hidden="1" x14ac:dyDescent="0.3"/>
    <row r="975" hidden="1" x14ac:dyDescent="0.3"/>
    <row r="976" hidden="1" x14ac:dyDescent="0.3"/>
    <row r="977" hidden="1" x14ac:dyDescent="0.3"/>
    <row r="978" hidden="1" x14ac:dyDescent="0.3"/>
    <row r="979" hidden="1" x14ac:dyDescent="0.3"/>
    <row r="980" hidden="1" x14ac:dyDescent="0.3"/>
    <row r="981" hidden="1" x14ac:dyDescent="0.3"/>
    <row r="982" hidden="1" x14ac:dyDescent="0.3"/>
    <row r="983" hidden="1" x14ac:dyDescent="0.3"/>
    <row r="984" hidden="1" x14ac:dyDescent="0.3"/>
    <row r="985" hidden="1" x14ac:dyDescent="0.3"/>
    <row r="986" hidden="1" x14ac:dyDescent="0.3"/>
    <row r="987" hidden="1" x14ac:dyDescent="0.3"/>
    <row r="988" hidden="1" x14ac:dyDescent="0.3"/>
    <row r="989" hidden="1" x14ac:dyDescent="0.3"/>
    <row r="990" hidden="1" x14ac:dyDescent="0.3"/>
    <row r="991" hidden="1" x14ac:dyDescent="0.3"/>
    <row r="992" hidden="1" x14ac:dyDescent="0.3"/>
    <row r="993" hidden="1" x14ac:dyDescent="0.3"/>
    <row r="994" hidden="1" x14ac:dyDescent="0.3"/>
    <row r="995" hidden="1" x14ac:dyDescent="0.3"/>
    <row r="996" hidden="1" x14ac:dyDescent="0.3"/>
    <row r="997" hidden="1" x14ac:dyDescent="0.3"/>
    <row r="998" hidden="1" x14ac:dyDescent="0.3"/>
    <row r="999" hidden="1" x14ac:dyDescent="0.3"/>
    <row r="1000" hidden="1" x14ac:dyDescent="0.3"/>
    <row r="1001" hidden="1" x14ac:dyDescent="0.3"/>
    <row r="1002" hidden="1" x14ac:dyDescent="0.3"/>
    <row r="1003" hidden="1" x14ac:dyDescent="0.3"/>
    <row r="1004" hidden="1" x14ac:dyDescent="0.3"/>
    <row r="1005" hidden="1" x14ac:dyDescent="0.3"/>
    <row r="1006" hidden="1" x14ac:dyDescent="0.3"/>
    <row r="1007" hidden="1" x14ac:dyDescent="0.3"/>
    <row r="1008" hidden="1" x14ac:dyDescent="0.3"/>
    <row r="1009" hidden="1" x14ac:dyDescent="0.3"/>
    <row r="1010" hidden="1" x14ac:dyDescent="0.3"/>
    <row r="1011" hidden="1" x14ac:dyDescent="0.3"/>
    <row r="1012" hidden="1" x14ac:dyDescent="0.3"/>
    <row r="1013" hidden="1" x14ac:dyDescent="0.3"/>
    <row r="1014" hidden="1" x14ac:dyDescent="0.3"/>
    <row r="1015" hidden="1" x14ac:dyDescent="0.3"/>
    <row r="1016" hidden="1" x14ac:dyDescent="0.3"/>
    <row r="1017" hidden="1" x14ac:dyDescent="0.3"/>
    <row r="1018" hidden="1" x14ac:dyDescent="0.3"/>
    <row r="1019" hidden="1" x14ac:dyDescent="0.3"/>
    <row r="1020" hidden="1" x14ac:dyDescent="0.3"/>
    <row r="1021" hidden="1" x14ac:dyDescent="0.3"/>
    <row r="1022" hidden="1" x14ac:dyDescent="0.3"/>
    <row r="1023" hidden="1" x14ac:dyDescent="0.3"/>
    <row r="1024" hidden="1" x14ac:dyDescent="0.3"/>
    <row r="1025" hidden="1" x14ac:dyDescent="0.3"/>
    <row r="1026" hidden="1" x14ac:dyDescent="0.3"/>
    <row r="1027" hidden="1" x14ac:dyDescent="0.3"/>
    <row r="1028" hidden="1" x14ac:dyDescent="0.3"/>
    <row r="1029" hidden="1" x14ac:dyDescent="0.3"/>
    <row r="1030" hidden="1" x14ac:dyDescent="0.3"/>
    <row r="1031" hidden="1" x14ac:dyDescent="0.3"/>
    <row r="1032" hidden="1" x14ac:dyDescent="0.3"/>
    <row r="1033" hidden="1" x14ac:dyDescent="0.3"/>
    <row r="1034" hidden="1" x14ac:dyDescent="0.3"/>
    <row r="1035" hidden="1" x14ac:dyDescent="0.3"/>
    <row r="1036" hidden="1" x14ac:dyDescent="0.3"/>
    <row r="1037" hidden="1" x14ac:dyDescent="0.3"/>
    <row r="1038" hidden="1" x14ac:dyDescent="0.3"/>
    <row r="1039" hidden="1" x14ac:dyDescent="0.3"/>
    <row r="1040" hidden="1" x14ac:dyDescent="0.3"/>
    <row r="1041" hidden="1" x14ac:dyDescent="0.3"/>
    <row r="1042" hidden="1" x14ac:dyDescent="0.3"/>
    <row r="1043" hidden="1" x14ac:dyDescent="0.3"/>
    <row r="1044" hidden="1" x14ac:dyDescent="0.3"/>
    <row r="1045" hidden="1" x14ac:dyDescent="0.3"/>
    <row r="1046" hidden="1" x14ac:dyDescent="0.3"/>
    <row r="1047" hidden="1" x14ac:dyDescent="0.3"/>
    <row r="1048" hidden="1" x14ac:dyDescent="0.3"/>
    <row r="1049" hidden="1" x14ac:dyDescent="0.3"/>
    <row r="1050" hidden="1" x14ac:dyDescent="0.3"/>
    <row r="1051" hidden="1" x14ac:dyDescent="0.3"/>
    <row r="1052" hidden="1" x14ac:dyDescent="0.3"/>
    <row r="1053" hidden="1" x14ac:dyDescent="0.3"/>
    <row r="1054" hidden="1" x14ac:dyDescent="0.3"/>
    <row r="1055" hidden="1" x14ac:dyDescent="0.3"/>
    <row r="1056" hidden="1" x14ac:dyDescent="0.3"/>
    <row r="1057" hidden="1" x14ac:dyDescent="0.3"/>
    <row r="1058" hidden="1" x14ac:dyDescent="0.3"/>
    <row r="1059" hidden="1" x14ac:dyDescent="0.3"/>
    <row r="1060" hidden="1" x14ac:dyDescent="0.3"/>
    <row r="1061" hidden="1" x14ac:dyDescent="0.3"/>
    <row r="1062" hidden="1" x14ac:dyDescent="0.3"/>
    <row r="1063" hidden="1" x14ac:dyDescent="0.3"/>
    <row r="1064" hidden="1" x14ac:dyDescent="0.3"/>
    <row r="1065" hidden="1" x14ac:dyDescent="0.3"/>
    <row r="1066" hidden="1" x14ac:dyDescent="0.3"/>
    <row r="1067" hidden="1" x14ac:dyDescent="0.3"/>
    <row r="1068" hidden="1" x14ac:dyDescent="0.3"/>
    <row r="1069" hidden="1" x14ac:dyDescent="0.3"/>
    <row r="1070" hidden="1" x14ac:dyDescent="0.3"/>
    <row r="1071" hidden="1" x14ac:dyDescent="0.3"/>
    <row r="1072" hidden="1" x14ac:dyDescent="0.3"/>
    <row r="1073" hidden="1" x14ac:dyDescent="0.3"/>
    <row r="1074" hidden="1" x14ac:dyDescent="0.3"/>
    <row r="1075" hidden="1" x14ac:dyDescent="0.3"/>
    <row r="1076" hidden="1" x14ac:dyDescent="0.3"/>
    <row r="1077" hidden="1" x14ac:dyDescent="0.3"/>
    <row r="1078" hidden="1" x14ac:dyDescent="0.3"/>
    <row r="1079" hidden="1" x14ac:dyDescent="0.3"/>
    <row r="1080" hidden="1" x14ac:dyDescent="0.3"/>
    <row r="1081" hidden="1" x14ac:dyDescent="0.3"/>
    <row r="1082" hidden="1" x14ac:dyDescent="0.3"/>
    <row r="1083" hidden="1" x14ac:dyDescent="0.3"/>
    <row r="1084" hidden="1" x14ac:dyDescent="0.3"/>
    <row r="1085" hidden="1" x14ac:dyDescent="0.3"/>
    <row r="1086" hidden="1" x14ac:dyDescent="0.3"/>
    <row r="1087" hidden="1" x14ac:dyDescent="0.3"/>
    <row r="1088" hidden="1" x14ac:dyDescent="0.3"/>
    <row r="1089" hidden="1" x14ac:dyDescent="0.3"/>
    <row r="1090" hidden="1" x14ac:dyDescent="0.3"/>
    <row r="1091" hidden="1" x14ac:dyDescent="0.3"/>
    <row r="1092" hidden="1" x14ac:dyDescent="0.3"/>
    <row r="1093" hidden="1" x14ac:dyDescent="0.3"/>
    <row r="1094" hidden="1" x14ac:dyDescent="0.3"/>
    <row r="1095" hidden="1" x14ac:dyDescent="0.3"/>
    <row r="1096" hidden="1" x14ac:dyDescent="0.3"/>
    <row r="1097" hidden="1" x14ac:dyDescent="0.3"/>
    <row r="1098" hidden="1" x14ac:dyDescent="0.3"/>
    <row r="1099" hidden="1" x14ac:dyDescent="0.3"/>
    <row r="1100" hidden="1" x14ac:dyDescent="0.3"/>
    <row r="1101" hidden="1" x14ac:dyDescent="0.3"/>
    <row r="1102" hidden="1" x14ac:dyDescent="0.3"/>
    <row r="1103" hidden="1" x14ac:dyDescent="0.3"/>
    <row r="1104" hidden="1" x14ac:dyDescent="0.3"/>
    <row r="1105" hidden="1" x14ac:dyDescent="0.3"/>
    <row r="1106" hidden="1" x14ac:dyDescent="0.3"/>
    <row r="1107" hidden="1" x14ac:dyDescent="0.3"/>
    <row r="1108" hidden="1" x14ac:dyDescent="0.3"/>
    <row r="1109" hidden="1" x14ac:dyDescent="0.3"/>
    <row r="1110" hidden="1" x14ac:dyDescent="0.3"/>
    <row r="1111" hidden="1" x14ac:dyDescent="0.3"/>
    <row r="1112" hidden="1" x14ac:dyDescent="0.3"/>
    <row r="1113" hidden="1" x14ac:dyDescent="0.3"/>
    <row r="1114" hidden="1" x14ac:dyDescent="0.3"/>
    <row r="1115" hidden="1" x14ac:dyDescent="0.3"/>
    <row r="1116" hidden="1" x14ac:dyDescent="0.3"/>
    <row r="1117" hidden="1" x14ac:dyDescent="0.3"/>
    <row r="1118" hidden="1" x14ac:dyDescent="0.3"/>
    <row r="1119" hidden="1" x14ac:dyDescent="0.3"/>
    <row r="1120" hidden="1" x14ac:dyDescent="0.3"/>
    <row r="1121" hidden="1" x14ac:dyDescent="0.3"/>
    <row r="1122" hidden="1" x14ac:dyDescent="0.3"/>
    <row r="1123" hidden="1" x14ac:dyDescent="0.3"/>
    <row r="1124" hidden="1" x14ac:dyDescent="0.3"/>
    <row r="1125" hidden="1" x14ac:dyDescent="0.3"/>
    <row r="1126" hidden="1" x14ac:dyDescent="0.3"/>
    <row r="1127" hidden="1" x14ac:dyDescent="0.3"/>
    <row r="1128" hidden="1" x14ac:dyDescent="0.3"/>
    <row r="1129" hidden="1" x14ac:dyDescent="0.3"/>
    <row r="1130" hidden="1" x14ac:dyDescent="0.3"/>
    <row r="1131" hidden="1" x14ac:dyDescent="0.3"/>
    <row r="1132" hidden="1" x14ac:dyDescent="0.3"/>
    <row r="1133" hidden="1" x14ac:dyDescent="0.3"/>
    <row r="1134" hidden="1" x14ac:dyDescent="0.3"/>
    <row r="1135" hidden="1" x14ac:dyDescent="0.3"/>
    <row r="1136" hidden="1" x14ac:dyDescent="0.3"/>
    <row r="1137" hidden="1" x14ac:dyDescent="0.3"/>
    <row r="1138" hidden="1" x14ac:dyDescent="0.3"/>
    <row r="1139" hidden="1" x14ac:dyDescent="0.3"/>
    <row r="1140" hidden="1" x14ac:dyDescent="0.3"/>
    <row r="1141" hidden="1" x14ac:dyDescent="0.3"/>
    <row r="1142" hidden="1" x14ac:dyDescent="0.3"/>
    <row r="1143" hidden="1" x14ac:dyDescent="0.3"/>
    <row r="1144" hidden="1" x14ac:dyDescent="0.3"/>
    <row r="1145" hidden="1" x14ac:dyDescent="0.3"/>
    <row r="1146" hidden="1" x14ac:dyDescent="0.3"/>
    <row r="1147" hidden="1" x14ac:dyDescent="0.3"/>
    <row r="1148" hidden="1" x14ac:dyDescent="0.3"/>
    <row r="1149" hidden="1" x14ac:dyDescent="0.3"/>
    <row r="1150" hidden="1" x14ac:dyDescent="0.3"/>
    <row r="1151" hidden="1" x14ac:dyDescent="0.3"/>
    <row r="1152" hidden="1" x14ac:dyDescent="0.3"/>
    <row r="1153" hidden="1" x14ac:dyDescent="0.3"/>
    <row r="1154" hidden="1" x14ac:dyDescent="0.3"/>
    <row r="1155" hidden="1" x14ac:dyDescent="0.3"/>
    <row r="1156" hidden="1" x14ac:dyDescent="0.3"/>
    <row r="1157" hidden="1" x14ac:dyDescent="0.3"/>
    <row r="1158" hidden="1" x14ac:dyDescent="0.3"/>
    <row r="1159" hidden="1" x14ac:dyDescent="0.3"/>
    <row r="1160" hidden="1" x14ac:dyDescent="0.3"/>
    <row r="1161" hidden="1" x14ac:dyDescent="0.3"/>
    <row r="1162" hidden="1" x14ac:dyDescent="0.3"/>
    <row r="1163" hidden="1" x14ac:dyDescent="0.3"/>
    <row r="1164" hidden="1" x14ac:dyDescent="0.3"/>
    <row r="1165" hidden="1" x14ac:dyDescent="0.3"/>
    <row r="1166" hidden="1" x14ac:dyDescent="0.3"/>
    <row r="1167" hidden="1" x14ac:dyDescent="0.3"/>
    <row r="1168" hidden="1" x14ac:dyDescent="0.3"/>
    <row r="1169" hidden="1" x14ac:dyDescent="0.3"/>
    <row r="1170" hidden="1" x14ac:dyDescent="0.3"/>
    <row r="1171" hidden="1" x14ac:dyDescent="0.3"/>
    <row r="1172" hidden="1" x14ac:dyDescent="0.3"/>
    <row r="1173" hidden="1" x14ac:dyDescent="0.3"/>
    <row r="1174" hidden="1" x14ac:dyDescent="0.3"/>
    <row r="1175" hidden="1" x14ac:dyDescent="0.3"/>
    <row r="1176" hidden="1" x14ac:dyDescent="0.3"/>
    <row r="1177" hidden="1" x14ac:dyDescent="0.3"/>
    <row r="1178" hidden="1" x14ac:dyDescent="0.3"/>
    <row r="1179" hidden="1" x14ac:dyDescent="0.3"/>
    <row r="1180" hidden="1" x14ac:dyDescent="0.3"/>
    <row r="1181" hidden="1" x14ac:dyDescent="0.3"/>
    <row r="1182" hidden="1" x14ac:dyDescent="0.3"/>
    <row r="1183" hidden="1" x14ac:dyDescent="0.3"/>
    <row r="1184" hidden="1" x14ac:dyDescent="0.3"/>
    <row r="1185" hidden="1" x14ac:dyDescent="0.3"/>
    <row r="1186" hidden="1" x14ac:dyDescent="0.3"/>
    <row r="1187" hidden="1" x14ac:dyDescent="0.3"/>
    <row r="1188" hidden="1" x14ac:dyDescent="0.3"/>
    <row r="1189" hidden="1" x14ac:dyDescent="0.3"/>
    <row r="1190" hidden="1" x14ac:dyDescent="0.3"/>
    <row r="1191" hidden="1" x14ac:dyDescent="0.3"/>
    <row r="1192" hidden="1" x14ac:dyDescent="0.3"/>
    <row r="1193" hidden="1" x14ac:dyDescent="0.3"/>
    <row r="1194" hidden="1" x14ac:dyDescent="0.3"/>
    <row r="1195" hidden="1" x14ac:dyDescent="0.3"/>
    <row r="1196" hidden="1" x14ac:dyDescent="0.3"/>
    <row r="1197" hidden="1" x14ac:dyDescent="0.3"/>
    <row r="1198" hidden="1" x14ac:dyDescent="0.3"/>
    <row r="1199" hidden="1" x14ac:dyDescent="0.3"/>
    <row r="1200" hidden="1" x14ac:dyDescent="0.3"/>
    <row r="1201" hidden="1" x14ac:dyDescent="0.3"/>
    <row r="1202" hidden="1" x14ac:dyDescent="0.3"/>
    <row r="1203" hidden="1" x14ac:dyDescent="0.3"/>
    <row r="1204" hidden="1" x14ac:dyDescent="0.3"/>
    <row r="1205" hidden="1" x14ac:dyDescent="0.3"/>
    <row r="1206" hidden="1" x14ac:dyDescent="0.3"/>
    <row r="1207" hidden="1" x14ac:dyDescent="0.3"/>
    <row r="1208" hidden="1" x14ac:dyDescent="0.3"/>
    <row r="1209" hidden="1" x14ac:dyDescent="0.3"/>
    <row r="1210" hidden="1" x14ac:dyDescent="0.3"/>
    <row r="1211" hidden="1" x14ac:dyDescent="0.3"/>
    <row r="1212" hidden="1" x14ac:dyDescent="0.3"/>
    <row r="1213" hidden="1" x14ac:dyDescent="0.3"/>
    <row r="1214" hidden="1" x14ac:dyDescent="0.3"/>
    <row r="1215" hidden="1" x14ac:dyDescent="0.3"/>
    <row r="1216" hidden="1" x14ac:dyDescent="0.3"/>
    <row r="1217" hidden="1" x14ac:dyDescent="0.3"/>
    <row r="1218" hidden="1" x14ac:dyDescent="0.3"/>
    <row r="1219" hidden="1" x14ac:dyDescent="0.3"/>
    <row r="1220" hidden="1" x14ac:dyDescent="0.3"/>
    <row r="1221" hidden="1" x14ac:dyDescent="0.3"/>
    <row r="1222" hidden="1" x14ac:dyDescent="0.3"/>
    <row r="1223" hidden="1" x14ac:dyDescent="0.3"/>
    <row r="1224" hidden="1" x14ac:dyDescent="0.3"/>
    <row r="1225" hidden="1" x14ac:dyDescent="0.3"/>
    <row r="1226" hidden="1" x14ac:dyDescent="0.3"/>
    <row r="1227" hidden="1" x14ac:dyDescent="0.3"/>
    <row r="1228" hidden="1" x14ac:dyDescent="0.3"/>
    <row r="1229" hidden="1" x14ac:dyDescent="0.3"/>
    <row r="1230" hidden="1" x14ac:dyDescent="0.3"/>
    <row r="1231" hidden="1" x14ac:dyDescent="0.3"/>
    <row r="1232" hidden="1" x14ac:dyDescent="0.3"/>
    <row r="1233" hidden="1" x14ac:dyDescent="0.3"/>
    <row r="1234" hidden="1" x14ac:dyDescent="0.3"/>
    <row r="1235" hidden="1" x14ac:dyDescent="0.3"/>
    <row r="1236" hidden="1" x14ac:dyDescent="0.3"/>
    <row r="1237" hidden="1" x14ac:dyDescent="0.3"/>
    <row r="1238" hidden="1" x14ac:dyDescent="0.3"/>
    <row r="1239" hidden="1" x14ac:dyDescent="0.3"/>
    <row r="1240" hidden="1" x14ac:dyDescent="0.3"/>
    <row r="1241" hidden="1" x14ac:dyDescent="0.3"/>
    <row r="1242" hidden="1" x14ac:dyDescent="0.3"/>
    <row r="1243" hidden="1" x14ac:dyDescent="0.3"/>
    <row r="1244" hidden="1" x14ac:dyDescent="0.3"/>
    <row r="1245" hidden="1" x14ac:dyDescent="0.3"/>
    <row r="1246" hidden="1" x14ac:dyDescent="0.3"/>
    <row r="1247" hidden="1" x14ac:dyDescent="0.3"/>
    <row r="1248" hidden="1" x14ac:dyDescent="0.3"/>
    <row r="1249" hidden="1" x14ac:dyDescent="0.3"/>
    <row r="1250" hidden="1" x14ac:dyDescent="0.3"/>
    <row r="1251" hidden="1" x14ac:dyDescent="0.3"/>
    <row r="1252" hidden="1" x14ac:dyDescent="0.3"/>
    <row r="1253" hidden="1" x14ac:dyDescent="0.3"/>
    <row r="1254" hidden="1" x14ac:dyDescent="0.3"/>
    <row r="1255" hidden="1" x14ac:dyDescent="0.3"/>
    <row r="1256" hidden="1" x14ac:dyDescent="0.3"/>
    <row r="1257" hidden="1" x14ac:dyDescent="0.3"/>
    <row r="1258" hidden="1" x14ac:dyDescent="0.3"/>
    <row r="1259" hidden="1" x14ac:dyDescent="0.3"/>
    <row r="1260" hidden="1" x14ac:dyDescent="0.3"/>
    <row r="1261" hidden="1" x14ac:dyDescent="0.3"/>
    <row r="1262" hidden="1" x14ac:dyDescent="0.3"/>
    <row r="1263" hidden="1" x14ac:dyDescent="0.3"/>
    <row r="1264" hidden="1" x14ac:dyDescent="0.3"/>
    <row r="1265" hidden="1" x14ac:dyDescent="0.3"/>
    <row r="1266" hidden="1" x14ac:dyDescent="0.3"/>
    <row r="1267" hidden="1" x14ac:dyDescent="0.3"/>
    <row r="1268" hidden="1" x14ac:dyDescent="0.3"/>
    <row r="1269" hidden="1" x14ac:dyDescent="0.3"/>
    <row r="1270" hidden="1" x14ac:dyDescent="0.3"/>
    <row r="1271" hidden="1" x14ac:dyDescent="0.3"/>
    <row r="1272" hidden="1" x14ac:dyDescent="0.3"/>
    <row r="1273" hidden="1" x14ac:dyDescent="0.3"/>
    <row r="1274" hidden="1" x14ac:dyDescent="0.3"/>
    <row r="1275" hidden="1" x14ac:dyDescent="0.3"/>
    <row r="1276" hidden="1" x14ac:dyDescent="0.3"/>
    <row r="1277" hidden="1" x14ac:dyDescent="0.3"/>
    <row r="1278" hidden="1" x14ac:dyDescent="0.3"/>
    <row r="1279" hidden="1" x14ac:dyDescent="0.3"/>
    <row r="1280" hidden="1" x14ac:dyDescent="0.3"/>
    <row r="1281" hidden="1" x14ac:dyDescent="0.3"/>
    <row r="1282" hidden="1" x14ac:dyDescent="0.3"/>
    <row r="1283" hidden="1" x14ac:dyDescent="0.3"/>
    <row r="1284" hidden="1" x14ac:dyDescent="0.3"/>
    <row r="1285" hidden="1" x14ac:dyDescent="0.3"/>
    <row r="1286" hidden="1" x14ac:dyDescent="0.3"/>
    <row r="1287" hidden="1" x14ac:dyDescent="0.3"/>
    <row r="1288" hidden="1" x14ac:dyDescent="0.3"/>
    <row r="1289" hidden="1" x14ac:dyDescent="0.3"/>
    <row r="1290" hidden="1" x14ac:dyDescent="0.3"/>
    <row r="1291" hidden="1" x14ac:dyDescent="0.3"/>
    <row r="1292" hidden="1" x14ac:dyDescent="0.3"/>
    <row r="1293" hidden="1" x14ac:dyDescent="0.3"/>
    <row r="1294" hidden="1" x14ac:dyDescent="0.3"/>
    <row r="1295" hidden="1" x14ac:dyDescent="0.3"/>
    <row r="1296" hidden="1" x14ac:dyDescent="0.3"/>
    <row r="1297" hidden="1" x14ac:dyDescent="0.3"/>
    <row r="1298" hidden="1" x14ac:dyDescent="0.3"/>
    <row r="1299" hidden="1" x14ac:dyDescent="0.3"/>
    <row r="1300" hidden="1" x14ac:dyDescent="0.3"/>
    <row r="1301" hidden="1" x14ac:dyDescent="0.3"/>
    <row r="1302" hidden="1" x14ac:dyDescent="0.3"/>
    <row r="1303" hidden="1" x14ac:dyDescent="0.3"/>
    <row r="1304" hidden="1" x14ac:dyDescent="0.3"/>
    <row r="1305" hidden="1" x14ac:dyDescent="0.3"/>
    <row r="1306" hidden="1" x14ac:dyDescent="0.3"/>
    <row r="1307" hidden="1" x14ac:dyDescent="0.3"/>
    <row r="1308" hidden="1" x14ac:dyDescent="0.3"/>
    <row r="1309" hidden="1" x14ac:dyDescent="0.3"/>
    <row r="1310" hidden="1" x14ac:dyDescent="0.3"/>
    <row r="1311" hidden="1" x14ac:dyDescent="0.3"/>
    <row r="1312" hidden="1" x14ac:dyDescent="0.3"/>
    <row r="1313" hidden="1" x14ac:dyDescent="0.3"/>
    <row r="1314" hidden="1" x14ac:dyDescent="0.3"/>
    <row r="1315" hidden="1" x14ac:dyDescent="0.3"/>
    <row r="1316" hidden="1" x14ac:dyDescent="0.3"/>
    <row r="1317" hidden="1" x14ac:dyDescent="0.3"/>
    <row r="1318" hidden="1" x14ac:dyDescent="0.3"/>
    <row r="1319" hidden="1" x14ac:dyDescent="0.3"/>
    <row r="1320" hidden="1" x14ac:dyDescent="0.3"/>
    <row r="1321" hidden="1" x14ac:dyDescent="0.3"/>
    <row r="1322" hidden="1" x14ac:dyDescent="0.3"/>
    <row r="1323" hidden="1" x14ac:dyDescent="0.3"/>
    <row r="1324" hidden="1" x14ac:dyDescent="0.3"/>
    <row r="1325" hidden="1" x14ac:dyDescent="0.3"/>
    <row r="1326" hidden="1" x14ac:dyDescent="0.3"/>
    <row r="1327" hidden="1" x14ac:dyDescent="0.3"/>
    <row r="1328" hidden="1" x14ac:dyDescent="0.3"/>
    <row r="1329" hidden="1" x14ac:dyDescent="0.3"/>
    <row r="1330" hidden="1" x14ac:dyDescent="0.3"/>
    <row r="1331" hidden="1" x14ac:dyDescent="0.3"/>
    <row r="1332" hidden="1" x14ac:dyDescent="0.3"/>
    <row r="1333" hidden="1" x14ac:dyDescent="0.3"/>
    <row r="1334" hidden="1" x14ac:dyDescent="0.3"/>
    <row r="1335" hidden="1" x14ac:dyDescent="0.3"/>
    <row r="1336" hidden="1" x14ac:dyDescent="0.3"/>
    <row r="1337" hidden="1" x14ac:dyDescent="0.3"/>
    <row r="1338" hidden="1" x14ac:dyDescent="0.3"/>
    <row r="1339" hidden="1" x14ac:dyDescent="0.3"/>
    <row r="1340" hidden="1" x14ac:dyDescent="0.3"/>
    <row r="1341" hidden="1" x14ac:dyDescent="0.3"/>
    <row r="1342" hidden="1" x14ac:dyDescent="0.3"/>
    <row r="1343" hidden="1" x14ac:dyDescent="0.3"/>
    <row r="1344" hidden="1" x14ac:dyDescent="0.3"/>
    <row r="1345" hidden="1" x14ac:dyDescent="0.3"/>
    <row r="1346" hidden="1" x14ac:dyDescent="0.3"/>
    <row r="1347" hidden="1" x14ac:dyDescent="0.3"/>
    <row r="1348" hidden="1" x14ac:dyDescent="0.3"/>
    <row r="1349" hidden="1" x14ac:dyDescent="0.3"/>
    <row r="1350" hidden="1" x14ac:dyDescent="0.3"/>
    <row r="1351" hidden="1" x14ac:dyDescent="0.3"/>
    <row r="1352" hidden="1" x14ac:dyDescent="0.3"/>
    <row r="1353" hidden="1" x14ac:dyDescent="0.3"/>
    <row r="1354" hidden="1" x14ac:dyDescent="0.3"/>
    <row r="1355" hidden="1" x14ac:dyDescent="0.3"/>
    <row r="1356" hidden="1" x14ac:dyDescent="0.3"/>
    <row r="1357" hidden="1" x14ac:dyDescent="0.3"/>
    <row r="1358" hidden="1" x14ac:dyDescent="0.3"/>
    <row r="1359" hidden="1" x14ac:dyDescent="0.3"/>
    <row r="1360" hidden="1" x14ac:dyDescent="0.3"/>
    <row r="1361" hidden="1" x14ac:dyDescent="0.3"/>
    <row r="1362" hidden="1" x14ac:dyDescent="0.3"/>
    <row r="1363" hidden="1" x14ac:dyDescent="0.3"/>
    <row r="1364" hidden="1" x14ac:dyDescent="0.3"/>
    <row r="1365" hidden="1" x14ac:dyDescent="0.3"/>
    <row r="1366" hidden="1" x14ac:dyDescent="0.3"/>
    <row r="1367" hidden="1" x14ac:dyDescent="0.3"/>
    <row r="1368" hidden="1" x14ac:dyDescent="0.3"/>
    <row r="1369" hidden="1" x14ac:dyDescent="0.3"/>
    <row r="1370" hidden="1" x14ac:dyDescent="0.3"/>
    <row r="1371" hidden="1" x14ac:dyDescent="0.3"/>
    <row r="1372" hidden="1" x14ac:dyDescent="0.3"/>
    <row r="1373" hidden="1" x14ac:dyDescent="0.3"/>
    <row r="1374" hidden="1" x14ac:dyDescent="0.3"/>
    <row r="1375" hidden="1" x14ac:dyDescent="0.3"/>
    <row r="1376" hidden="1" x14ac:dyDescent="0.3"/>
    <row r="1377" hidden="1" x14ac:dyDescent="0.3"/>
    <row r="1378" hidden="1" x14ac:dyDescent="0.3"/>
    <row r="1379" hidden="1" x14ac:dyDescent="0.3"/>
    <row r="1380" hidden="1" x14ac:dyDescent="0.3"/>
    <row r="1381" hidden="1" x14ac:dyDescent="0.3"/>
    <row r="1382" hidden="1" x14ac:dyDescent="0.3"/>
    <row r="1383" hidden="1" x14ac:dyDescent="0.3"/>
    <row r="1384" hidden="1" x14ac:dyDescent="0.3"/>
    <row r="1385" hidden="1" x14ac:dyDescent="0.3"/>
    <row r="1386" hidden="1" x14ac:dyDescent="0.3"/>
    <row r="1387" hidden="1" x14ac:dyDescent="0.3"/>
    <row r="1388" hidden="1" x14ac:dyDescent="0.3"/>
    <row r="1389" hidden="1" x14ac:dyDescent="0.3"/>
    <row r="1390" hidden="1" x14ac:dyDescent="0.3"/>
    <row r="1391" hidden="1" x14ac:dyDescent="0.3"/>
    <row r="1392" hidden="1" x14ac:dyDescent="0.3"/>
    <row r="1393" hidden="1" x14ac:dyDescent="0.3"/>
    <row r="1394" hidden="1" x14ac:dyDescent="0.3"/>
    <row r="1395" hidden="1" x14ac:dyDescent="0.3"/>
    <row r="1396" hidden="1" x14ac:dyDescent="0.3"/>
    <row r="1397" hidden="1" x14ac:dyDescent="0.3"/>
    <row r="1398" hidden="1" x14ac:dyDescent="0.3"/>
    <row r="1399" hidden="1" x14ac:dyDescent="0.3"/>
    <row r="1400" hidden="1" x14ac:dyDescent="0.3"/>
    <row r="1401" hidden="1" x14ac:dyDescent="0.3"/>
    <row r="1402" hidden="1" x14ac:dyDescent="0.3"/>
    <row r="1403" hidden="1" x14ac:dyDescent="0.3"/>
    <row r="1404" hidden="1" x14ac:dyDescent="0.3"/>
    <row r="1405" hidden="1" x14ac:dyDescent="0.3"/>
    <row r="1406" hidden="1" x14ac:dyDescent="0.3"/>
    <row r="1407" hidden="1" x14ac:dyDescent="0.3"/>
    <row r="1408" hidden="1" x14ac:dyDescent="0.3"/>
    <row r="1409" hidden="1" x14ac:dyDescent="0.3"/>
    <row r="1410" hidden="1" x14ac:dyDescent="0.3"/>
    <row r="1411" hidden="1" x14ac:dyDescent="0.3"/>
    <row r="1412" hidden="1" x14ac:dyDescent="0.3"/>
    <row r="1413" hidden="1" x14ac:dyDescent="0.3"/>
    <row r="1414" hidden="1" x14ac:dyDescent="0.3"/>
    <row r="1415" hidden="1" x14ac:dyDescent="0.3"/>
    <row r="1416" hidden="1" x14ac:dyDescent="0.3"/>
    <row r="1417" hidden="1" x14ac:dyDescent="0.3"/>
    <row r="1418" hidden="1" x14ac:dyDescent="0.3"/>
    <row r="1419" hidden="1" x14ac:dyDescent="0.3"/>
    <row r="1420" hidden="1" x14ac:dyDescent="0.3"/>
    <row r="1421" hidden="1" x14ac:dyDescent="0.3"/>
    <row r="1422" hidden="1" x14ac:dyDescent="0.3"/>
    <row r="1423" hidden="1" x14ac:dyDescent="0.3"/>
    <row r="1424" hidden="1" x14ac:dyDescent="0.3"/>
    <row r="1425" hidden="1" x14ac:dyDescent="0.3"/>
    <row r="1426" hidden="1" x14ac:dyDescent="0.3"/>
    <row r="1427" hidden="1" x14ac:dyDescent="0.3"/>
    <row r="1428" hidden="1" x14ac:dyDescent="0.3"/>
    <row r="1429" hidden="1" x14ac:dyDescent="0.3"/>
    <row r="1430" hidden="1" x14ac:dyDescent="0.3"/>
    <row r="1431" hidden="1" x14ac:dyDescent="0.3"/>
    <row r="1432" hidden="1" x14ac:dyDescent="0.3"/>
    <row r="1433" hidden="1" x14ac:dyDescent="0.3"/>
    <row r="1434" hidden="1" x14ac:dyDescent="0.3"/>
    <row r="1435" hidden="1" x14ac:dyDescent="0.3"/>
    <row r="1436" hidden="1" x14ac:dyDescent="0.3"/>
    <row r="1437" hidden="1" x14ac:dyDescent="0.3"/>
    <row r="1438" hidden="1" x14ac:dyDescent="0.3"/>
    <row r="1439" hidden="1" x14ac:dyDescent="0.3"/>
    <row r="1440" hidden="1" x14ac:dyDescent="0.3"/>
    <row r="1441" hidden="1" x14ac:dyDescent="0.3"/>
    <row r="1442" hidden="1" x14ac:dyDescent="0.3"/>
    <row r="1443" hidden="1" x14ac:dyDescent="0.3"/>
    <row r="1444" hidden="1" x14ac:dyDescent="0.3"/>
    <row r="1445" hidden="1" x14ac:dyDescent="0.3"/>
    <row r="1446" hidden="1" x14ac:dyDescent="0.3"/>
    <row r="1447" hidden="1" x14ac:dyDescent="0.3"/>
    <row r="1448" hidden="1" x14ac:dyDescent="0.3"/>
    <row r="1449" hidden="1" x14ac:dyDescent="0.3"/>
    <row r="1450" hidden="1" x14ac:dyDescent="0.3"/>
    <row r="1451" hidden="1" x14ac:dyDescent="0.3"/>
    <row r="1452" hidden="1" x14ac:dyDescent="0.3"/>
    <row r="1453" hidden="1" x14ac:dyDescent="0.3"/>
    <row r="1454" hidden="1" x14ac:dyDescent="0.3"/>
    <row r="1455" hidden="1" x14ac:dyDescent="0.3"/>
    <row r="1456" hidden="1" x14ac:dyDescent="0.3"/>
    <row r="1457" hidden="1" x14ac:dyDescent="0.3"/>
    <row r="1458" hidden="1" x14ac:dyDescent="0.3"/>
    <row r="1459" hidden="1" x14ac:dyDescent="0.3"/>
    <row r="1460" hidden="1" x14ac:dyDescent="0.3"/>
    <row r="1461" hidden="1" x14ac:dyDescent="0.3"/>
    <row r="1462" hidden="1" x14ac:dyDescent="0.3"/>
    <row r="1463" hidden="1" x14ac:dyDescent="0.3"/>
    <row r="1464" hidden="1" x14ac:dyDescent="0.3"/>
    <row r="1465" hidden="1" x14ac:dyDescent="0.3"/>
    <row r="1466" hidden="1" x14ac:dyDescent="0.3"/>
    <row r="1467" hidden="1" x14ac:dyDescent="0.3"/>
    <row r="1468" hidden="1" x14ac:dyDescent="0.3"/>
    <row r="1469" hidden="1" x14ac:dyDescent="0.3"/>
    <row r="1470" hidden="1" x14ac:dyDescent="0.3"/>
    <row r="1471" hidden="1" x14ac:dyDescent="0.3"/>
    <row r="1472" hidden="1" x14ac:dyDescent="0.3"/>
    <row r="1473" hidden="1" x14ac:dyDescent="0.3"/>
    <row r="1474" hidden="1" x14ac:dyDescent="0.3"/>
    <row r="1475" hidden="1" x14ac:dyDescent="0.3"/>
    <row r="1476" hidden="1" x14ac:dyDescent="0.3"/>
    <row r="1477" hidden="1" x14ac:dyDescent="0.3"/>
    <row r="1478" hidden="1" x14ac:dyDescent="0.3"/>
    <row r="1479" hidden="1" x14ac:dyDescent="0.3"/>
    <row r="1480" hidden="1" x14ac:dyDescent="0.3"/>
    <row r="1481" hidden="1" x14ac:dyDescent="0.3"/>
    <row r="1482" hidden="1" x14ac:dyDescent="0.3"/>
    <row r="1483" hidden="1" x14ac:dyDescent="0.3"/>
    <row r="1484" hidden="1" x14ac:dyDescent="0.3"/>
    <row r="1485" hidden="1" x14ac:dyDescent="0.3"/>
    <row r="1486" hidden="1" x14ac:dyDescent="0.3"/>
    <row r="1487" hidden="1" x14ac:dyDescent="0.3"/>
    <row r="1488" hidden="1" x14ac:dyDescent="0.3"/>
    <row r="1489" hidden="1" x14ac:dyDescent="0.3"/>
    <row r="1490" hidden="1" x14ac:dyDescent="0.3"/>
    <row r="1491" hidden="1" x14ac:dyDescent="0.3"/>
    <row r="1492" hidden="1" x14ac:dyDescent="0.3"/>
    <row r="1493" hidden="1" x14ac:dyDescent="0.3"/>
    <row r="1494" hidden="1" x14ac:dyDescent="0.3"/>
    <row r="1495" hidden="1" x14ac:dyDescent="0.3"/>
    <row r="1496" hidden="1" x14ac:dyDescent="0.3"/>
    <row r="1497" hidden="1" x14ac:dyDescent="0.3"/>
    <row r="1498" hidden="1" x14ac:dyDescent="0.3"/>
    <row r="1499" hidden="1" x14ac:dyDescent="0.3"/>
    <row r="1500" hidden="1" x14ac:dyDescent="0.3"/>
    <row r="1501" hidden="1" x14ac:dyDescent="0.3"/>
    <row r="1502" hidden="1" x14ac:dyDescent="0.3"/>
    <row r="1503" hidden="1" x14ac:dyDescent="0.3"/>
    <row r="1504" hidden="1" x14ac:dyDescent="0.3"/>
    <row r="1505" hidden="1" x14ac:dyDescent="0.3"/>
    <row r="1506" hidden="1" x14ac:dyDescent="0.3"/>
    <row r="1507" hidden="1" x14ac:dyDescent="0.3"/>
    <row r="1508" hidden="1" x14ac:dyDescent="0.3"/>
    <row r="1509" hidden="1" x14ac:dyDescent="0.3"/>
    <row r="1510" hidden="1" x14ac:dyDescent="0.3"/>
    <row r="1511" hidden="1" x14ac:dyDescent="0.3"/>
    <row r="1512" hidden="1" x14ac:dyDescent="0.3"/>
    <row r="1513" hidden="1" x14ac:dyDescent="0.3"/>
    <row r="1514" hidden="1" x14ac:dyDescent="0.3"/>
    <row r="1515" hidden="1" x14ac:dyDescent="0.3"/>
    <row r="1516" hidden="1" x14ac:dyDescent="0.3"/>
    <row r="1517" hidden="1" x14ac:dyDescent="0.3"/>
    <row r="1518" hidden="1" x14ac:dyDescent="0.3"/>
    <row r="1519" hidden="1" x14ac:dyDescent="0.3"/>
    <row r="1520" hidden="1" x14ac:dyDescent="0.3"/>
    <row r="1521" hidden="1" x14ac:dyDescent="0.3"/>
    <row r="1522" hidden="1" x14ac:dyDescent="0.3"/>
    <row r="1523" hidden="1" x14ac:dyDescent="0.3"/>
    <row r="1524" hidden="1" x14ac:dyDescent="0.3"/>
    <row r="1525" hidden="1" x14ac:dyDescent="0.3"/>
    <row r="1526" hidden="1" x14ac:dyDescent="0.3"/>
    <row r="1527" hidden="1" x14ac:dyDescent="0.3"/>
    <row r="1528" hidden="1" x14ac:dyDescent="0.3"/>
    <row r="1529" hidden="1" x14ac:dyDescent="0.3"/>
    <row r="1530" hidden="1" x14ac:dyDescent="0.3"/>
    <row r="1531" hidden="1" x14ac:dyDescent="0.3"/>
    <row r="1532" hidden="1" x14ac:dyDescent="0.3"/>
    <row r="1533" hidden="1" x14ac:dyDescent="0.3"/>
    <row r="1534" hidden="1" x14ac:dyDescent="0.3"/>
    <row r="1535" hidden="1" x14ac:dyDescent="0.3"/>
    <row r="1536" hidden="1" x14ac:dyDescent="0.3"/>
    <row r="1537" hidden="1" x14ac:dyDescent="0.3"/>
    <row r="1538" hidden="1" x14ac:dyDescent="0.3"/>
    <row r="1539" hidden="1" x14ac:dyDescent="0.3"/>
    <row r="1540" hidden="1" x14ac:dyDescent="0.3"/>
    <row r="1541" hidden="1" x14ac:dyDescent="0.3"/>
    <row r="1542" hidden="1" x14ac:dyDescent="0.3"/>
    <row r="1543" hidden="1" x14ac:dyDescent="0.3"/>
    <row r="1544" hidden="1" x14ac:dyDescent="0.3"/>
    <row r="1545" hidden="1" x14ac:dyDescent="0.3"/>
    <row r="1546" hidden="1" x14ac:dyDescent="0.3"/>
    <row r="1547" hidden="1" x14ac:dyDescent="0.3"/>
    <row r="1548" hidden="1" x14ac:dyDescent="0.3"/>
    <row r="1549" hidden="1" x14ac:dyDescent="0.3"/>
    <row r="1550" hidden="1" x14ac:dyDescent="0.3"/>
    <row r="1551" hidden="1" x14ac:dyDescent="0.3"/>
    <row r="1552" hidden="1" x14ac:dyDescent="0.3"/>
    <row r="1553" hidden="1" x14ac:dyDescent="0.3"/>
    <row r="1554" hidden="1" x14ac:dyDescent="0.3"/>
    <row r="1555" hidden="1" x14ac:dyDescent="0.3"/>
    <row r="1556" hidden="1" x14ac:dyDescent="0.3"/>
    <row r="1557" hidden="1" x14ac:dyDescent="0.3"/>
    <row r="1558" hidden="1" x14ac:dyDescent="0.3"/>
    <row r="1559" hidden="1" x14ac:dyDescent="0.3"/>
    <row r="1560" hidden="1" x14ac:dyDescent="0.3"/>
    <row r="1561" hidden="1" x14ac:dyDescent="0.3"/>
    <row r="1562" hidden="1" x14ac:dyDescent="0.3"/>
    <row r="1563" hidden="1" x14ac:dyDescent="0.3"/>
    <row r="1564" hidden="1" x14ac:dyDescent="0.3"/>
    <row r="1565" hidden="1" x14ac:dyDescent="0.3"/>
    <row r="1566" hidden="1" x14ac:dyDescent="0.3"/>
    <row r="1567" hidden="1" x14ac:dyDescent="0.3"/>
    <row r="1568" hidden="1" x14ac:dyDescent="0.3"/>
    <row r="1569" hidden="1" x14ac:dyDescent="0.3"/>
    <row r="1570" hidden="1" x14ac:dyDescent="0.3"/>
    <row r="1571" hidden="1" x14ac:dyDescent="0.3"/>
    <row r="1572" hidden="1" x14ac:dyDescent="0.3"/>
    <row r="1573" hidden="1" x14ac:dyDescent="0.3"/>
    <row r="1574" hidden="1" x14ac:dyDescent="0.3"/>
    <row r="1575" hidden="1" x14ac:dyDescent="0.3"/>
    <row r="1576" hidden="1" x14ac:dyDescent="0.3"/>
    <row r="1577" hidden="1" x14ac:dyDescent="0.3"/>
    <row r="1578" hidden="1" x14ac:dyDescent="0.3"/>
    <row r="1579" hidden="1" x14ac:dyDescent="0.3"/>
    <row r="1580" hidden="1" x14ac:dyDescent="0.3"/>
    <row r="1581" hidden="1" x14ac:dyDescent="0.3"/>
    <row r="1582" hidden="1" x14ac:dyDescent="0.3"/>
    <row r="1583" hidden="1" x14ac:dyDescent="0.3"/>
    <row r="1584" hidden="1" x14ac:dyDescent="0.3"/>
    <row r="1585" hidden="1" x14ac:dyDescent="0.3"/>
    <row r="1586" hidden="1" x14ac:dyDescent="0.3"/>
    <row r="1587" hidden="1" x14ac:dyDescent="0.3"/>
    <row r="1588" hidden="1" x14ac:dyDescent="0.3"/>
    <row r="1589" hidden="1" x14ac:dyDescent="0.3"/>
    <row r="1590" hidden="1" x14ac:dyDescent="0.3"/>
    <row r="1591" hidden="1" x14ac:dyDescent="0.3"/>
    <row r="1592" hidden="1" x14ac:dyDescent="0.3"/>
    <row r="1593" hidden="1" x14ac:dyDescent="0.3"/>
    <row r="1594" hidden="1" x14ac:dyDescent="0.3"/>
    <row r="1595" hidden="1" x14ac:dyDescent="0.3"/>
    <row r="1596" hidden="1" x14ac:dyDescent="0.3"/>
    <row r="1597" hidden="1" x14ac:dyDescent="0.3"/>
    <row r="1598" hidden="1" x14ac:dyDescent="0.3"/>
    <row r="1599" hidden="1" x14ac:dyDescent="0.3"/>
    <row r="1600" hidden="1" x14ac:dyDescent="0.3"/>
    <row r="1601" hidden="1" x14ac:dyDescent="0.3"/>
    <row r="1602" hidden="1" x14ac:dyDescent="0.3"/>
    <row r="1603" hidden="1" x14ac:dyDescent="0.3"/>
    <row r="1604" hidden="1" x14ac:dyDescent="0.3"/>
    <row r="1605" hidden="1" x14ac:dyDescent="0.3"/>
    <row r="1606" hidden="1" x14ac:dyDescent="0.3"/>
    <row r="1607" hidden="1" x14ac:dyDescent="0.3"/>
    <row r="1608" hidden="1" x14ac:dyDescent="0.3"/>
    <row r="1609" hidden="1" x14ac:dyDescent="0.3"/>
    <row r="1610" hidden="1" x14ac:dyDescent="0.3"/>
    <row r="1611" hidden="1" x14ac:dyDescent="0.3"/>
    <row r="1612" hidden="1" x14ac:dyDescent="0.3"/>
    <row r="1613" hidden="1" x14ac:dyDescent="0.3"/>
    <row r="1614" hidden="1" x14ac:dyDescent="0.3"/>
    <row r="1615" hidden="1" x14ac:dyDescent="0.3"/>
    <row r="1616" hidden="1" x14ac:dyDescent="0.3"/>
    <row r="1617" hidden="1" x14ac:dyDescent="0.3"/>
    <row r="1618" hidden="1" x14ac:dyDescent="0.3"/>
    <row r="1619" hidden="1" x14ac:dyDescent="0.3"/>
    <row r="1620" hidden="1" x14ac:dyDescent="0.3"/>
    <row r="1621" hidden="1" x14ac:dyDescent="0.3"/>
    <row r="1622" hidden="1" x14ac:dyDescent="0.3"/>
    <row r="1623" hidden="1" x14ac:dyDescent="0.3"/>
    <row r="1624" hidden="1" x14ac:dyDescent="0.3"/>
    <row r="1625" hidden="1" x14ac:dyDescent="0.3"/>
    <row r="1626" hidden="1" x14ac:dyDescent="0.3"/>
    <row r="1627" hidden="1" x14ac:dyDescent="0.3"/>
    <row r="1628" hidden="1" x14ac:dyDescent="0.3"/>
    <row r="1629" hidden="1" x14ac:dyDescent="0.3"/>
    <row r="1630" hidden="1" x14ac:dyDescent="0.3"/>
    <row r="1631" hidden="1" x14ac:dyDescent="0.3"/>
    <row r="1632" hidden="1" x14ac:dyDescent="0.3"/>
    <row r="1633" hidden="1" x14ac:dyDescent="0.3"/>
    <row r="1634" hidden="1" x14ac:dyDescent="0.3"/>
    <row r="1635" hidden="1" x14ac:dyDescent="0.3"/>
    <row r="1636" hidden="1" x14ac:dyDescent="0.3"/>
    <row r="1637" hidden="1" x14ac:dyDescent="0.3"/>
    <row r="1638" hidden="1" x14ac:dyDescent="0.3"/>
    <row r="1639" hidden="1" x14ac:dyDescent="0.3"/>
    <row r="1640" hidden="1" x14ac:dyDescent="0.3"/>
    <row r="1641" hidden="1" x14ac:dyDescent="0.3"/>
    <row r="1642" hidden="1" x14ac:dyDescent="0.3"/>
    <row r="1643" hidden="1" x14ac:dyDescent="0.3"/>
    <row r="1644" hidden="1" x14ac:dyDescent="0.3"/>
    <row r="1645" hidden="1" x14ac:dyDescent="0.3"/>
    <row r="1646" hidden="1" x14ac:dyDescent="0.3"/>
    <row r="1647" hidden="1" x14ac:dyDescent="0.3"/>
    <row r="1648" hidden="1" x14ac:dyDescent="0.3"/>
    <row r="1649" hidden="1" x14ac:dyDescent="0.3"/>
    <row r="1650" hidden="1" x14ac:dyDescent="0.3"/>
    <row r="1651" hidden="1" x14ac:dyDescent="0.3"/>
    <row r="1652" hidden="1" x14ac:dyDescent="0.3"/>
    <row r="1653" hidden="1" x14ac:dyDescent="0.3"/>
    <row r="1654" hidden="1" x14ac:dyDescent="0.3"/>
    <row r="1655" hidden="1" x14ac:dyDescent="0.3"/>
    <row r="1656" hidden="1" x14ac:dyDescent="0.3"/>
    <row r="1657" hidden="1" x14ac:dyDescent="0.3"/>
    <row r="1658" hidden="1" x14ac:dyDescent="0.3"/>
    <row r="1659" hidden="1" x14ac:dyDescent="0.3"/>
    <row r="1660" hidden="1" x14ac:dyDescent="0.3"/>
    <row r="1661" hidden="1" x14ac:dyDescent="0.3"/>
    <row r="1662" hidden="1" x14ac:dyDescent="0.3"/>
    <row r="1663" hidden="1" x14ac:dyDescent="0.3"/>
    <row r="1664" hidden="1" x14ac:dyDescent="0.3"/>
    <row r="1665" hidden="1" x14ac:dyDescent="0.3"/>
    <row r="1666" hidden="1" x14ac:dyDescent="0.3"/>
    <row r="1667" hidden="1" x14ac:dyDescent="0.3"/>
    <row r="1668" hidden="1" x14ac:dyDescent="0.3"/>
    <row r="1669" hidden="1" x14ac:dyDescent="0.3"/>
    <row r="1670" hidden="1" x14ac:dyDescent="0.3"/>
    <row r="1671" hidden="1" x14ac:dyDescent="0.3"/>
    <row r="1672" hidden="1" x14ac:dyDescent="0.3"/>
    <row r="1673" hidden="1" x14ac:dyDescent="0.3"/>
    <row r="1674" hidden="1" x14ac:dyDescent="0.3"/>
    <row r="1675" hidden="1" x14ac:dyDescent="0.3"/>
    <row r="1676" hidden="1" x14ac:dyDescent="0.3"/>
    <row r="1677" hidden="1" x14ac:dyDescent="0.3"/>
    <row r="1678" hidden="1" x14ac:dyDescent="0.3"/>
    <row r="1679" hidden="1" x14ac:dyDescent="0.3"/>
    <row r="1680" hidden="1" x14ac:dyDescent="0.3"/>
    <row r="1681" hidden="1" x14ac:dyDescent="0.3"/>
    <row r="1682" hidden="1" x14ac:dyDescent="0.3"/>
    <row r="1683" hidden="1" x14ac:dyDescent="0.3"/>
    <row r="1684" hidden="1" x14ac:dyDescent="0.3"/>
    <row r="1685" hidden="1" x14ac:dyDescent="0.3"/>
    <row r="1686" hidden="1" x14ac:dyDescent="0.3"/>
    <row r="1687" hidden="1" x14ac:dyDescent="0.3"/>
    <row r="1688" hidden="1" x14ac:dyDescent="0.3"/>
    <row r="1689" hidden="1" x14ac:dyDescent="0.3"/>
    <row r="1690" hidden="1" x14ac:dyDescent="0.3"/>
    <row r="1691" hidden="1" x14ac:dyDescent="0.3"/>
    <row r="1692" hidden="1" x14ac:dyDescent="0.3"/>
    <row r="1693" hidden="1" x14ac:dyDescent="0.3"/>
    <row r="1694" hidden="1" x14ac:dyDescent="0.3"/>
    <row r="1695" hidden="1" x14ac:dyDescent="0.3"/>
    <row r="1696" hidden="1" x14ac:dyDescent="0.3"/>
    <row r="1697" hidden="1" x14ac:dyDescent="0.3"/>
    <row r="1698" hidden="1" x14ac:dyDescent="0.3"/>
    <row r="1699" hidden="1" x14ac:dyDescent="0.3"/>
    <row r="1700" hidden="1" x14ac:dyDescent="0.3"/>
    <row r="1701" hidden="1" x14ac:dyDescent="0.3"/>
    <row r="1702" hidden="1" x14ac:dyDescent="0.3"/>
    <row r="1703" hidden="1" x14ac:dyDescent="0.3"/>
    <row r="1704" hidden="1" x14ac:dyDescent="0.3"/>
    <row r="1705" hidden="1" x14ac:dyDescent="0.3"/>
    <row r="1706" hidden="1" x14ac:dyDescent="0.3"/>
    <row r="1707" hidden="1" x14ac:dyDescent="0.3"/>
    <row r="1708" hidden="1" x14ac:dyDescent="0.3"/>
    <row r="1709" hidden="1" x14ac:dyDescent="0.3"/>
    <row r="1710" hidden="1" x14ac:dyDescent="0.3"/>
    <row r="1711" hidden="1" x14ac:dyDescent="0.3"/>
    <row r="1712" hidden="1" x14ac:dyDescent="0.3"/>
    <row r="1713" hidden="1" x14ac:dyDescent="0.3"/>
    <row r="1714" hidden="1" x14ac:dyDescent="0.3"/>
    <row r="1715" hidden="1" x14ac:dyDescent="0.3"/>
    <row r="1716" hidden="1" x14ac:dyDescent="0.3"/>
    <row r="1717" hidden="1" x14ac:dyDescent="0.3"/>
    <row r="1718" hidden="1" x14ac:dyDescent="0.3"/>
    <row r="1719" hidden="1" x14ac:dyDescent="0.3"/>
    <row r="1720" hidden="1" x14ac:dyDescent="0.3"/>
    <row r="1721" hidden="1" x14ac:dyDescent="0.3"/>
    <row r="1722" hidden="1" x14ac:dyDescent="0.3"/>
    <row r="1723" hidden="1" x14ac:dyDescent="0.3"/>
    <row r="1724" hidden="1" x14ac:dyDescent="0.3"/>
    <row r="1725" hidden="1" x14ac:dyDescent="0.3"/>
    <row r="1726" hidden="1" x14ac:dyDescent="0.3"/>
    <row r="1727" hidden="1" x14ac:dyDescent="0.3"/>
    <row r="1728" hidden="1" x14ac:dyDescent="0.3"/>
    <row r="1729" hidden="1" x14ac:dyDescent="0.3"/>
    <row r="1730" hidden="1" x14ac:dyDescent="0.3"/>
    <row r="1731" hidden="1" x14ac:dyDescent="0.3"/>
    <row r="1732" hidden="1" x14ac:dyDescent="0.3"/>
    <row r="1733" hidden="1" x14ac:dyDescent="0.3"/>
    <row r="1734" hidden="1" x14ac:dyDescent="0.3"/>
    <row r="1735" hidden="1" x14ac:dyDescent="0.3"/>
    <row r="1736" hidden="1" x14ac:dyDescent="0.3"/>
    <row r="1737" hidden="1" x14ac:dyDescent="0.3"/>
    <row r="1738" hidden="1" x14ac:dyDescent="0.3"/>
    <row r="1739" hidden="1" x14ac:dyDescent="0.3"/>
    <row r="1740" hidden="1" x14ac:dyDescent="0.3"/>
    <row r="1741" hidden="1" x14ac:dyDescent="0.3"/>
    <row r="1742" hidden="1" x14ac:dyDescent="0.3"/>
    <row r="1743" hidden="1" x14ac:dyDescent="0.3"/>
    <row r="1744" hidden="1" x14ac:dyDescent="0.3"/>
    <row r="1745" hidden="1" x14ac:dyDescent="0.3"/>
    <row r="1746" hidden="1" x14ac:dyDescent="0.3"/>
    <row r="1747" hidden="1" x14ac:dyDescent="0.3"/>
    <row r="1748" hidden="1" x14ac:dyDescent="0.3"/>
    <row r="1749" hidden="1" x14ac:dyDescent="0.3"/>
    <row r="1750" hidden="1" x14ac:dyDescent="0.3"/>
    <row r="1751" hidden="1" x14ac:dyDescent="0.3"/>
    <row r="1752" hidden="1" x14ac:dyDescent="0.3"/>
    <row r="1753" hidden="1" x14ac:dyDescent="0.3"/>
    <row r="1754" hidden="1" x14ac:dyDescent="0.3"/>
    <row r="1755" hidden="1" x14ac:dyDescent="0.3"/>
    <row r="1756" hidden="1" x14ac:dyDescent="0.3"/>
    <row r="1757" hidden="1" x14ac:dyDescent="0.3"/>
    <row r="1758" hidden="1" x14ac:dyDescent="0.3"/>
    <row r="1759" hidden="1" x14ac:dyDescent="0.3"/>
    <row r="1760" hidden="1" x14ac:dyDescent="0.3"/>
    <row r="1761" hidden="1" x14ac:dyDescent="0.3"/>
    <row r="1762" hidden="1" x14ac:dyDescent="0.3"/>
    <row r="1763" hidden="1" x14ac:dyDescent="0.3"/>
    <row r="1764" hidden="1" x14ac:dyDescent="0.3"/>
    <row r="1765" hidden="1" x14ac:dyDescent="0.3"/>
    <row r="1766" hidden="1" x14ac:dyDescent="0.3"/>
    <row r="1767" hidden="1" x14ac:dyDescent="0.3"/>
    <row r="1768" hidden="1" x14ac:dyDescent="0.3"/>
    <row r="1769" hidden="1" x14ac:dyDescent="0.3"/>
    <row r="1770" hidden="1" x14ac:dyDescent="0.3"/>
    <row r="1771" hidden="1" x14ac:dyDescent="0.3"/>
    <row r="1772" hidden="1" x14ac:dyDescent="0.3"/>
    <row r="1773" hidden="1" x14ac:dyDescent="0.3"/>
    <row r="1774" hidden="1" x14ac:dyDescent="0.3"/>
    <row r="1775" hidden="1" x14ac:dyDescent="0.3"/>
    <row r="1776" hidden="1" x14ac:dyDescent="0.3"/>
    <row r="1777" hidden="1" x14ac:dyDescent="0.3"/>
    <row r="1778" hidden="1" x14ac:dyDescent="0.3"/>
    <row r="1779" hidden="1" x14ac:dyDescent="0.3"/>
    <row r="1780" hidden="1" x14ac:dyDescent="0.3"/>
    <row r="1781" hidden="1" x14ac:dyDescent="0.3"/>
    <row r="1782" hidden="1" x14ac:dyDescent="0.3"/>
    <row r="1783" hidden="1" x14ac:dyDescent="0.3"/>
    <row r="1784" hidden="1" x14ac:dyDescent="0.3"/>
    <row r="1785" hidden="1" x14ac:dyDescent="0.3"/>
    <row r="1786" hidden="1" x14ac:dyDescent="0.3"/>
    <row r="1787" hidden="1" x14ac:dyDescent="0.3"/>
    <row r="1788" hidden="1" x14ac:dyDescent="0.3"/>
    <row r="1789" hidden="1" x14ac:dyDescent="0.3"/>
    <row r="1790" hidden="1" x14ac:dyDescent="0.3"/>
    <row r="1791" hidden="1" x14ac:dyDescent="0.3"/>
    <row r="1792" hidden="1" x14ac:dyDescent="0.3"/>
    <row r="1793" hidden="1" x14ac:dyDescent="0.3"/>
    <row r="1794" hidden="1" x14ac:dyDescent="0.3"/>
    <row r="1795" hidden="1" x14ac:dyDescent="0.3"/>
    <row r="1796" hidden="1" x14ac:dyDescent="0.3"/>
    <row r="1797" hidden="1" x14ac:dyDescent="0.3"/>
    <row r="1798" hidden="1" x14ac:dyDescent="0.3"/>
    <row r="1799" hidden="1" x14ac:dyDescent="0.3"/>
    <row r="1800" hidden="1" x14ac:dyDescent="0.3"/>
    <row r="1801" hidden="1" x14ac:dyDescent="0.3"/>
    <row r="1802" hidden="1" x14ac:dyDescent="0.3"/>
    <row r="1803" hidden="1" x14ac:dyDescent="0.3"/>
    <row r="1804" hidden="1" x14ac:dyDescent="0.3"/>
    <row r="1805" hidden="1" x14ac:dyDescent="0.3"/>
    <row r="1806" hidden="1" x14ac:dyDescent="0.3"/>
    <row r="1807" hidden="1" x14ac:dyDescent="0.3"/>
    <row r="1808" hidden="1" x14ac:dyDescent="0.3"/>
    <row r="1809" hidden="1" x14ac:dyDescent="0.3"/>
    <row r="1810" hidden="1" x14ac:dyDescent="0.3"/>
    <row r="1811" hidden="1" x14ac:dyDescent="0.3"/>
    <row r="1812" hidden="1" x14ac:dyDescent="0.3"/>
    <row r="1813" hidden="1" x14ac:dyDescent="0.3"/>
    <row r="1814" hidden="1" x14ac:dyDescent="0.3"/>
    <row r="1815" hidden="1" x14ac:dyDescent="0.3"/>
    <row r="1816" hidden="1" x14ac:dyDescent="0.3"/>
    <row r="1817" hidden="1" x14ac:dyDescent="0.3"/>
    <row r="1818" hidden="1" x14ac:dyDescent="0.3"/>
    <row r="1819" hidden="1" x14ac:dyDescent="0.3"/>
    <row r="1820" hidden="1" x14ac:dyDescent="0.3"/>
    <row r="1821" hidden="1" x14ac:dyDescent="0.3"/>
    <row r="1822" hidden="1" x14ac:dyDescent="0.3"/>
    <row r="1823" hidden="1" x14ac:dyDescent="0.3"/>
    <row r="1824" hidden="1" x14ac:dyDescent="0.3"/>
    <row r="1825" hidden="1" x14ac:dyDescent="0.3"/>
    <row r="1826" hidden="1" x14ac:dyDescent="0.3"/>
    <row r="1827" hidden="1" x14ac:dyDescent="0.3"/>
    <row r="1828" hidden="1" x14ac:dyDescent="0.3"/>
    <row r="1829" hidden="1" x14ac:dyDescent="0.3"/>
    <row r="1830" hidden="1" x14ac:dyDescent="0.3"/>
    <row r="1831" hidden="1" x14ac:dyDescent="0.3"/>
    <row r="1832" hidden="1" x14ac:dyDescent="0.3"/>
    <row r="1833" hidden="1" x14ac:dyDescent="0.3"/>
    <row r="1834" hidden="1" x14ac:dyDescent="0.3"/>
    <row r="1835" hidden="1" x14ac:dyDescent="0.3"/>
    <row r="1836" hidden="1" x14ac:dyDescent="0.3"/>
    <row r="1837" hidden="1" x14ac:dyDescent="0.3"/>
    <row r="1838" hidden="1" x14ac:dyDescent="0.3"/>
    <row r="1839" hidden="1" x14ac:dyDescent="0.3"/>
    <row r="1840" hidden="1" x14ac:dyDescent="0.3"/>
    <row r="1841" hidden="1" x14ac:dyDescent="0.3"/>
    <row r="1842" hidden="1" x14ac:dyDescent="0.3"/>
    <row r="1843" hidden="1" x14ac:dyDescent="0.3"/>
    <row r="1844" hidden="1" x14ac:dyDescent="0.3"/>
    <row r="1845" hidden="1" x14ac:dyDescent="0.3"/>
    <row r="1846" hidden="1" x14ac:dyDescent="0.3"/>
    <row r="1847" hidden="1" x14ac:dyDescent="0.3"/>
    <row r="1848" hidden="1" x14ac:dyDescent="0.3"/>
    <row r="1849" hidden="1" x14ac:dyDescent="0.3"/>
    <row r="1850" hidden="1" x14ac:dyDescent="0.3"/>
    <row r="1851" hidden="1" x14ac:dyDescent="0.3"/>
    <row r="1852" hidden="1" x14ac:dyDescent="0.3"/>
    <row r="1853" hidden="1" x14ac:dyDescent="0.3"/>
    <row r="1854" hidden="1" x14ac:dyDescent="0.3"/>
    <row r="1855" hidden="1" x14ac:dyDescent="0.3"/>
    <row r="1856" hidden="1" x14ac:dyDescent="0.3"/>
    <row r="1857" hidden="1" x14ac:dyDescent="0.3"/>
    <row r="1858" hidden="1" x14ac:dyDescent="0.3"/>
    <row r="1859" hidden="1" x14ac:dyDescent="0.3"/>
    <row r="1860" hidden="1" x14ac:dyDescent="0.3"/>
    <row r="1861" hidden="1" x14ac:dyDescent="0.3"/>
    <row r="1862" hidden="1" x14ac:dyDescent="0.3"/>
    <row r="1863" hidden="1" x14ac:dyDescent="0.3"/>
    <row r="1864" hidden="1" x14ac:dyDescent="0.3"/>
    <row r="1865" hidden="1" x14ac:dyDescent="0.3"/>
    <row r="1866" hidden="1" x14ac:dyDescent="0.3"/>
    <row r="1867" hidden="1" x14ac:dyDescent="0.3"/>
    <row r="1868" hidden="1" x14ac:dyDescent="0.3"/>
    <row r="1869" hidden="1" x14ac:dyDescent="0.3"/>
    <row r="1870" hidden="1" x14ac:dyDescent="0.3"/>
    <row r="1871" hidden="1" x14ac:dyDescent="0.3"/>
    <row r="1872" hidden="1" x14ac:dyDescent="0.3"/>
    <row r="1873" hidden="1" x14ac:dyDescent="0.3"/>
    <row r="1874" hidden="1" x14ac:dyDescent="0.3"/>
    <row r="1875" hidden="1" x14ac:dyDescent="0.3"/>
    <row r="1876" hidden="1" x14ac:dyDescent="0.3"/>
    <row r="1877" hidden="1" x14ac:dyDescent="0.3"/>
    <row r="1878" hidden="1" x14ac:dyDescent="0.3"/>
    <row r="1879" hidden="1" x14ac:dyDescent="0.3"/>
    <row r="1880" hidden="1" x14ac:dyDescent="0.3"/>
    <row r="1881" hidden="1" x14ac:dyDescent="0.3"/>
    <row r="1882" hidden="1" x14ac:dyDescent="0.3"/>
    <row r="1883" hidden="1" x14ac:dyDescent="0.3"/>
    <row r="1884" hidden="1" x14ac:dyDescent="0.3"/>
    <row r="1885" hidden="1" x14ac:dyDescent="0.3"/>
    <row r="1886" hidden="1" x14ac:dyDescent="0.3"/>
    <row r="1887" hidden="1" x14ac:dyDescent="0.3"/>
    <row r="1888" hidden="1" x14ac:dyDescent="0.3"/>
    <row r="1889" hidden="1" x14ac:dyDescent="0.3"/>
    <row r="1890" hidden="1" x14ac:dyDescent="0.3"/>
    <row r="1891" hidden="1" x14ac:dyDescent="0.3"/>
    <row r="1892" hidden="1" x14ac:dyDescent="0.3"/>
    <row r="1893" hidden="1" x14ac:dyDescent="0.3"/>
    <row r="1894" hidden="1" x14ac:dyDescent="0.3"/>
    <row r="1895" hidden="1" x14ac:dyDescent="0.3"/>
    <row r="1896" hidden="1" x14ac:dyDescent="0.3"/>
    <row r="1897" hidden="1" x14ac:dyDescent="0.3"/>
    <row r="1898" hidden="1" x14ac:dyDescent="0.3"/>
    <row r="1899" hidden="1" x14ac:dyDescent="0.3"/>
    <row r="1900" hidden="1" x14ac:dyDescent="0.3"/>
    <row r="1901" hidden="1" x14ac:dyDescent="0.3"/>
    <row r="1902" hidden="1" x14ac:dyDescent="0.3"/>
    <row r="1903" hidden="1" x14ac:dyDescent="0.3"/>
    <row r="1904" hidden="1" x14ac:dyDescent="0.3"/>
    <row r="1905" hidden="1" x14ac:dyDescent="0.3"/>
    <row r="1906" hidden="1" x14ac:dyDescent="0.3"/>
    <row r="1907" hidden="1" x14ac:dyDescent="0.3"/>
    <row r="1908" hidden="1" x14ac:dyDescent="0.3"/>
    <row r="1909" hidden="1" x14ac:dyDescent="0.3"/>
    <row r="1910" hidden="1" x14ac:dyDescent="0.3"/>
    <row r="1911" hidden="1" x14ac:dyDescent="0.3"/>
    <row r="1912" hidden="1" x14ac:dyDescent="0.3"/>
    <row r="1913" hidden="1" x14ac:dyDescent="0.3"/>
    <row r="1914" hidden="1" x14ac:dyDescent="0.3"/>
    <row r="1915" hidden="1" x14ac:dyDescent="0.3"/>
    <row r="1916" hidden="1" x14ac:dyDescent="0.3"/>
    <row r="1917" hidden="1" x14ac:dyDescent="0.3"/>
    <row r="1918" hidden="1" x14ac:dyDescent="0.3"/>
    <row r="1919" hidden="1" x14ac:dyDescent="0.3"/>
    <row r="1920" hidden="1" x14ac:dyDescent="0.3"/>
    <row r="1921" hidden="1" x14ac:dyDescent="0.3"/>
    <row r="1922" hidden="1" x14ac:dyDescent="0.3"/>
    <row r="1923" hidden="1" x14ac:dyDescent="0.3"/>
    <row r="1924" hidden="1" x14ac:dyDescent="0.3"/>
    <row r="1925" hidden="1" x14ac:dyDescent="0.3"/>
    <row r="1926" hidden="1" x14ac:dyDescent="0.3"/>
    <row r="1927" hidden="1" x14ac:dyDescent="0.3"/>
    <row r="1928" hidden="1" x14ac:dyDescent="0.3"/>
    <row r="1929" hidden="1" x14ac:dyDescent="0.3"/>
    <row r="1930" hidden="1" x14ac:dyDescent="0.3"/>
    <row r="1931" hidden="1" x14ac:dyDescent="0.3"/>
    <row r="1932" hidden="1" x14ac:dyDescent="0.3"/>
    <row r="1933" hidden="1" x14ac:dyDescent="0.3"/>
    <row r="1934" hidden="1" x14ac:dyDescent="0.3"/>
    <row r="1935" hidden="1" x14ac:dyDescent="0.3"/>
    <row r="1936" hidden="1" x14ac:dyDescent="0.3"/>
    <row r="1937" hidden="1" x14ac:dyDescent="0.3"/>
    <row r="1938" hidden="1" x14ac:dyDescent="0.3"/>
    <row r="1939" hidden="1" x14ac:dyDescent="0.3"/>
    <row r="1940" hidden="1" x14ac:dyDescent="0.3"/>
    <row r="1941" hidden="1" x14ac:dyDescent="0.3"/>
    <row r="1942" hidden="1" x14ac:dyDescent="0.3"/>
    <row r="1943" hidden="1" x14ac:dyDescent="0.3"/>
    <row r="1944" hidden="1" x14ac:dyDescent="0.3"/>
    <row r="1945" hidden="1" x14ac:dyDescent="0.3"/>
    <row r="1946" hidden="1" x14ac:dyDescent="0.3"/>
    <row r="1947" hidden="1" x14ac:dyDescent="0.3"/>
    <row r="1948" hidden="1" x14ac:dyDescent="0.3"/>
    <row r="1949" hidden="1" x14ac:dyDescent="0.3"/>
    <row r="1950" hidden="1" x14ac:dyDescent="0.3"/>
    <row r="1951" hidden="1" x14ac:dyDescent="0.3"/>
    <row r="1952" hidden="1" x14ac:dyDescent="0.3"/>
    <row r="1953" hidden="1" x14ac:dyDescent="0.3"/>
    <row r="1954" hidden="1" x14ac:dyDescent="0.3"/>
    <row r="1955" hidden="1" x14ac:dyDescent="0.3"/>
    <row r="1956" hidden="1" x14ac:dyDescent="0.3"/>
    <row r="1957" hidden="1" x14ac:dyDescent="0.3"/>
    <row r="1958" hidden="1" x14ac:dyDescent="0.3"/>
    <row r="1959" hidden="1" x14ac:dyDescent="0.3"/>
    <row r="1960" hidden="1" x14ac:dyDescent="0.3"/>
    <row r="1961" hidden="1" x14ac:dyDescent="0.3"/>
    <row r="1962" hidden="1" x14ac:dyDescent="0.3"/>
    <row r="1963" hidden="1" x14ac:dyDescent="0.3"/>
    <row r="1964" hidden="1" x14ac:dyDescent="0.3"/>
    <row r="1965" hidden="1" x14ac:dyDescent="0.3"/>
    <row r="1966" hidden="1" x14ac:dyDescent="0.3"/>
    <row r="1967" hidden="1" x14ac:dyDescent="0.3"/>
    <row r="1968" hidden="1" x14ac:dyDescent="0.3"/>
    <row r="1969" hidden="1" x14ac:dyDescent="0.3"/>
    <row r="1970" hidden="1" x14ac:dyDescent="0.3"/>
    <row r="1971" hidden="1" x14ac:dyDescent="0.3"/>
    <row r="1972" hidden="1" x14ac:dyDescent="0.3"/>
    <row r="1973" hidden="1" x14ac:dyDescent="0.3"/>
    <row r="1974" hidden="1" x14ac:dyDescent="0.3"/>
    <row r="1975" hidden="1" x14ac:dyDescent="0.3"/>
    <row r="1976" hidden="1" x14ac:dyDescent="0.3"/>
    <row r="1977" hidden="1" x14ac:dyDescent="0.3"/>
    <row r="1978" hidden="1" x14ac:dyDescent="0.3"/>
    <row r="1979" hidden="1" x14ac:dyDescent="0.3"/>
    <row r="1980" hidden="1" x14ac:dyDescent="0.3"/>
    <row r="1981" hidden="1" x14ac:dyDescent="0.3"/>
    <row r="1982" hidden="1" x14ac:dyDescent="0.3"/>
    <row r="1983" hidden="1" x14ac:dyDescent="0.3"/>
    <row r="1984" hidden="1" x14ac:dyDescent="0.3"/>
    <row r="1985" hidden="1" x14ac:dyDescent="0.3"/>
    <row r="1986" hidden="1" x14ac:dyDescent="0.3"/>
    <row r="1987" hidden="1" x14ac:dyDescent="0.3"/>
    <row r="1988" hidden="1" x14ac:dyDescent="0.3"/>
    <row r="1989" hidden="1" x14ac:dyDescent="0.3"/>
    <row r="1990" hidden="1" x14ac:dyDescent="0.3"/>
    <row r="1991" hidden="1" x14ac:dyDescent="0.3"/>
    <row r="1992" hidden="1" x14ac:dyDescent="0.3"/>
    <row r="1993" hidden="1" x14ac:dyDescent="0.3"/>
    <row r="1994" hidden="1" x14ac:dyDescent="0.3"/>
    <row r="1995" hidden="1" x14ac:dyDescent="0.3"/>
    <row r="1996" hidden="1" x14ac:dyDescent="0.3"/>
    <row r="1997" hidden="1" x14ac:dyDescent="0.3"/>
    <row r="1998" hidden="1" x14ac:dyDescent="0.3"/>
    <row r="1999" hidden="1" x14ac:dyDescent="0.3"/>
    <row r="2000" hidden="1" x14ac:dyDescent="0.3"/>
    <row r="2001" hidden="1" x14ac:dyDescent="0.3"/>
    <row r="2002" hidden="1" x14ac:dyDescent="0.3"/>
    <row r="2003" hidden="1" x14ac:dyDescent="0.3"/>
    <row r="2004" hidden="1" x14ac:dyDescent="0.3"/>
    <row r="2005" hidden="1" x14ac:dyDescent="0.3"/>
    <row r="2006" hidden="1" x14ac:dyDescent="0.3"/>
    <row r="2007" hidden="1" x14ac:dyDescent="0.3"/>
    <row r="2008" hidden="1" x14ac:dyDescent="0.3"/>
    <row r="2009" hidden="1" x14ac:dyDescent="0.3"/>
    <row r="2010" hidden="1" x14ac:dyDescent="0.3"/>
    <row r="2011" hidden="1" x14ac:dyDescent="0.3"/>
    <row r="2012" hidden="1" x14ac:dyDescent="0.3"/>
    <row r="2013" hidden="1" x14ac:dyDescent="0.3"/>
    <row r="2014" hidden="1" x14ac:dyDescent="0.3"/>
    <row r="2015" hidden="1" x14ac:dyDescent="0.3"/>
    <row r="2016" hidden="1" x14ac:dyDescent="0.3"/>
    <row r="2017" hidden="1" x14ac:dyDescent="0.3"/>
    <row r="2018" hidden="1" x14ac:dyDescent="0.3"/>
    <row r="2019" hidden="1" x14ac:dyDescent="0.3"/>
    <row r="2020" hidden="1" x14ac:dyDescent="0.3"/>
    <row r="2021" hidden="1" x14ac:dyDescent="0.3"/>
    <row r="2022" hidden="1" x14ac:dyDescent="0.3"/>
    <row r="2023" hidden="1" x14ac:dyDescent="0.3"/>
    <row r="2024" hidden="1" x14ac:dyDescent="0.3"/>
    <row r="2025" hidden="1" x14ac:dyDescent="0.3"/>
    <row r="2026" hidden="1" x14ac:dyDescent="0.3"/>
    <row r="2027" hidden="1" x14ac:dyDescent="0.3"/>
    <row r="2028" hidden="1" x14ac:dyDescent="0.3"/>
    <row r="2029" hidden="1" x14ac:dyDescent="0.3"/>
    <row r="2030" hidden="1" x14ac:dyDescent="0.3"/>
    <row r="2031" hidden="1" x14ac:dyDescent="0.3"/>
    <row r="2032" hidden="1" x14ac:dyDescent="0.3"/>
    <row r="2033" hidden="1" x14ac:dyDescent="0.3"/>
    <row r="2034" hidden="1" x14ac:dyDescent="0.3"/>
    <row r="2035" hidden="1" x14ac:dyDescent="0.3"/>
    <row r="2036" hidden="1" x14ac:dyDescent="0.3"/>
    <row r="2037" hidden="1" x14ac:dyDescent="0.3"/>
    <row r="2038" hidden="1" x14ac:dyDescent="0.3"/>
    <row r="2039" hidden="1" x14ac:dyDescent="0.3"/>
    <row r="2040" hidden="1" x14ac:dyDescent="0.3"/>
    <row r="2041" hidden="1" x14ac:dyDescent="0.3"/>
    <row r="2042" hidden="1" x14ac:dyDescent="0.3"/>
    <row r="2043" hidden="1" x14ac:dyDescent="0.3"/>
    <row r="2044" hidden="1" x14ac:dyDescent="0.3"/>
    <row r="2045" hidden="1" x14ac:dyDescent="0.3"/>
    <row r="2046" hidden="1" x14ac:dyDescent="0.3"/>
    <row r="2047" hidden="1" x14ac:dyDescent="0.3"/>
    <row r="2048" hidden="1" x14ac:dyDescent="0.3"/>
    <row r="2049" hidden="1" x14ac:dyDescent="0.3"/>
    <row r="2050" hidden="1" x14ac:dyDescent="0.3"/>
    <row r="2051" hidden="1" x14ac:dyDescent="0.3"/>
    <row r="2052" hidden="1" x14ac:dyDescent="0.3"/>
    <row r="2053" hidden="1" x14ac:dyDescent="0.3"/>
    <row r="2054" hidden="1" x14ac:dyDescent="0.3"/>
    <row r="2055" hidden="1" x14ac:dyDescent="0.3"/>
    <row r="2056" hidden="1" x14ac:dyDescent="0.3"/>
    <row r="2057" hidden="1" x14ac:dyDescent="0.3"/>
    <row r="2058" hidden="1" x14ac:dyDescent="0.3"/>
    <row r="2059" hidden="1" x14ac:dyDescent="0.3"/>
    <row r="2060" hidden="1" x14ac:dyDescent="0.3"/>
    <row r="2061" hidden="1" x14ac:dyDescent="0.3"/>
    <row r="2062" hidden="1" x14ac:dyDescent="0.3"/>
    <row r="2063" hidden="1" x14ac:dyDescent="0.3"/>
    <row r="2064" hidden="1" x14ac:dyDescent="0.3"/>
    <row r="2065" hidden="1" x14ac:dyDescent="0.3"/>
    <row r="2066" hidden="1" x14ac:dyDescent="0.3"/>
    <row r="2067" hidden="1" x14ac:dyDescent="0.3"/>
    <row r="2068" hidden="1" x14ac:dyDescent="0.3"/>
    <row r="2069" hidden="1" x14ac:dyDescent="0.3"/>
    <row r="2070" hidden="1" x14ac:dyDescent="0.3"/>
    <row r="2071" hidden="1" x14ac:dyDescent="0.3"/>
    <row r="2072" hidden="1" x14ac:dyDescent="0.3"/>
    <row r="2073" hidden="1" x14ac:dyDescent="0.3"/>
    <row r="2074" hidden="1" x14ac:dyDescent="0.3"/>
    <row r="2075" hidden="1" x14ac:dyDescent="0.3"/>
    <row r="2076" hidden="1" x14ac:dyDescent="0.3"/>
    <row r="2077" hidden="1" x14ac:dyDescent="0.3"/>
    <row r="2078" hidden="1" x14ac:dyDescent="0.3"/>
    <row r="2079" hidden="1" x14ac:dyDescent="0.3"/>
    <row r="2080" hidden="1" x14ac:dyDescent="0.3"/>
    <row r="2081" hidden="1" x14ac:dyDescent="0.3"/>
    <row r="2082" hidden="1" x14ac:dyDescent="0.3"/>
    <row r="2083" hidden="1" x14ac:dyDescent="0.3"/>
    <row r="2084" hidden="1" x14ac:dyDescent="0.3"/>
    <row r="2085" hidden="1" x14ac:dyDescent="0.3"/>
    <row r="2086" hidden="1" x14ac:dyDescent="0.3"/>
    <row r="2087" hidden="1" x14ac:dyDescent="0.3"/>
    <row r="2088" hidden="1" x14ac:dyDescent="0.3"/>
    <row r="2089" hidden="1" x14ac:dyDescent="0.3"/>
    <row r="2090" hidden="1" x14ac:dyDescent="0.3"/>
    <row r="2091" hidden="1" x14ac:dyDescent="0.3"/>
    <row r="2092" hidden="1" x14ac:dyDescent="0.3"/>
    <row r="2093" hidden="1" x14ac:dyDescent="0.3"/>
    <row r="2094" hidden="1" x14ac:dyDescent="0.3"/>
    <row r="2095" hidden="1" x14ac:dyDescent="0.3"/>
    <row r="2096" hidden="1" x14ac:dyDescent="0.3"/>
    <row r="2097" hidden="1" x14ac:dyDescent="0.3"/>
    <row r="2098" hidden="1" x14ac:dyDescent="0.3"/>
    <row r="2099" hidden="1" x14ac:dyDescent="0.3"/>
    <row r="2100" hidden="1" x14ac:dyDescent="0.3"/>
    <row r="2101" hidden="1" x14ac:dyDescent="0.3"/>
    <row r="2102" hidden="1" x14ac:dyDescent="0.3"/>
    <row r="2103" hidden="1" x14ac:dyDescent="0.3"/>
    <row r="2104" hidden="1" x14ac:dyDescent="0.3"/>
    <row r="2105" hidden="1" x14ac:dyDescent="0.3"/>
    <row r="2106" hidden="1" x14ac:dyDescent="0.3"/>
    <row r="2107" hidden="1" x14ac:dyDescent="0.3"/>
    <row r="2108" hidden="1" x14ac:dyDescent="0.3"/>
    <row r="2109" hidden="1" x14ac:dyDescent="0.3"/>
    <row r="2110" hidden="1" x14ac:dyDescent="0.3"/>
    <row r="2111" hidden="1" x14ac:dyDescent="0.3"/>
    <row r="2112" hidden="1" x14ac:dyDescent="0.3"/>
    <row r="2113" hidden="1" x14ac:dyDescent="0.3"/>
    <row r="2114" hidden="1" x14ac:dyDescent="0.3"/>
    <row r="2115" hidden="1" x14ac:dyDescent="0.3"/>
    <row r="2116" hidden="1" x14ac:dyDescent="0.3"/>
    <row r="2117" hidden="1" x14ac:dyDescent="0.3"/>
    <row r="2118" hidden="1" x14ac:dyDescent="0.3"/>
    <row r="2119" hidden="1" x14ac:dyDescent="0.3"/>
    <row r="2120" hidden="1" x14ac:dyDescent="0.3"/>
    <row r="2121" hidden="1" x14ac:dyDescent="0.3"/>
    <row r="2122" hidden="1" x14ac:dyDescent="0.3"/>
    <row r="2123" hidden="1" x14ac:dyDescent="0.3"/>
    <row r="2124" hidden="1" x14ac:dyDescent="0.3"/>
    <row r="2125" hidden="1" x14ac:dyDescent="0.3"/>
    <row r="2126" hidden="1" x14ac:dyDescent="0.3"/>
    <row r="2127" hidden="1" x14ac:dyDescent="0.3"/>
    <row r="2128" hidden="1" x14ac:dyDescent="0.3"/>
    <row r="2129" hidden="1" x14ac:dyDescent="0.3"/>
    <row r="2130" hidden="1" x14ac:dyDescent="0.3"/>
    <row r="2131" hidden="1" x14ac:dyDescent="0.3"/>
    <row r="2132" hidden="1" x14ac:dyDescent="0.3"/>
    <row r="2133" hidden="1" x14ac:dyDescent="0.3"/>
    <row r="2134" hidden="1" x14ac:dyDescent="0.3"/>
    <row r="2135" hidden="1" x14ac:dyDescent="0.3"/>
    <row r="2136" hidden="1" x14ac:dyDescent="0.3"/>
    <row r="2137" hidden="1" x14ac:dyDescent="0.3"/>
    <row r="2138" hidden="1" x14ac:dyDescent="0.3"/>
    <row r="2139" hidden="1" x14ac:dyDescent="0.3"/>
    <row r="2140" hidden="1" x14ac:dyDescent="0.3"/>
    <row r="2141" hidden="1" x14ac:dyDescent="0.3"/>
    <row r="2142" hidden="1" x14ac:dyDescent="0.3"/>
    <row r="2143" hidden="1" x14ac:dyDescent="0.3"/>
    <row r="2144" hidden="1" x14ac:dyDescent="0.3"/>
    <row r="2145" hidden="1" x14ac:dyDescent="0.3"/>
    <row r="2146" hidden="1" x14ac:dyDescent="0.3"/>
    <row r="2147" hidden="1" x14ac:dyDescent="0.3"/>
    <row r="2148" hidden="1" x14ac:dyDescent="0.3"/>
    <row r="2149" hidden="1" x14ac:dyDescent="0.3"/>
    <row r="2150" hidden="1" x14ac:dyDescent="0.3"/>
    <row r="2151" hidden="1" x14ac:dyDescent="0.3"/>
    <row r="2152" hidden="1" x14ac:dyDescent="0.3"/>
    <row r="2153" hidden="1" x14ac:dyDescent="0.3"/>
    <row r="2154" hidden="1" x14ac:dyDescent="0.3"/>
    <row r="2155" hidden="1" x14ac:dyDescent="0.3"/>
    <row r="2156" hidden="1" x14ac:dyDescent="0.3"/>
    <row r="2157" hidden="1" x14ac:dyDescent="0.3"/>
    <row r="2158" hidden="1" x14ac:dyDescent="0.3"/>
    <row r="2159" hidden="1" x14ac:dyDescent="0.3"/>
    <row r="2160" hidden="1" x14ac:dyDescent="0.3"/>
    <row r="2161" hidden="1" x14ac:dyDescent="0.3"/>
    <row r="2162" hidden="1" x14ac:dyDescent="0.3"/>
    <row r="2163" hidden="1" x14ac:dyDescent="0.3"/>
    <row r="2164" hidden="1" x14ac:dyDescent="0.3"/>
    <row r="2165" hidden="1" x14ac:dyDescent="0.3"/>
    <row r="2166" hidden="1" x14ac:dyDescent="0.3"/>
    <row r="2167" hidden="1" x14ac:dyDescent="0.3"/>
    <row r="2168" hidden="1" x14ac:dyDescent="0.3"/>
    <row r="2169" hidden="1" x14ac:dyDescent="0.3"/>
    <row r="2170" hidden="1" x14ac:dyDescent="0.3"/>
    <row r="2171" hidden="1" x14ac:dyDescent="0.3"/>
    <row r="2172" hidden="1" x14ac:dyDescent="0.3"/>
    <row r="2173" hidden="1" x14ac:dyDescent="0.3"/>
    <row r="2174" hidden="1" x14ac:dyDescent="0.3"/>
    <row r="2175" hidden="1" x14ac:dyDescent="0.3"/>
    <row r="2176" hidden="1" x14ac:dyDescent="0.3"/>
    <row r="2177" hidden="1" x14ac:dyDescent="0.3"/>
    <row r="2178" hidden="1" x14ac:dyDescent="0.3"/>
    <row r="2179" hidden="1" x14ac:dyDescent="0.3"/>
    <row r="2180" hidden="1" x14ac:dyDescent="0.3"/>
    <row r="2181" hidden="1" x14ac:dyDescent="0.3"/>
    <row r="2182" hidden="1" x14ac:dyDescent="0.3"/>
    <row r="2183" hidden="1" x14ac:dyDescent="0.3"/>
    <row r="2184" hidden="1" x14ac:dyDescent="0.3"/>
    <row r="2185" hidden="1" x14ac:dyDescent="0.3"/>
    <row r="2186" hidden="1" x14ac:dyDescent="0.3"/>
    <row r="2187" hidden="1" x14ac:dyDescent="0.3"/>
    <row r="2188" hidden="1" x14ac:dyDescent="0.3"/>
    <row r="2189" hidden="1" x14ac:dyDescent="0.3"/>
    <row r="2190" hidden="1" x14ac:dyDescent="0.3"/>
    <row r="2191" hidden="1" x14ac:dyDescent="0.3"/>
    <row r="2192" hidden="1" x14ac:dyDescent="0.3"/>
    <row r="2193" hidden="1" x14ac:dyDescent="0.3"/>
    <row r="2194" hidden="1" x14ac:dyDescent="0.3"/>
    <row r="2195" hidden="1" x14ac:dyDescent="0.3"/>
    <row r="2196" hidden="1" x14ac:dyDescent="0.3"/>
    <row r="2197" hidden="1" x14ac:dyDescent="0.3"/>
    <row r="2198" hidden="1" x14ac:dyDescent="0.3"/>
    <row r="2199" hidden="1" x14ac:dyDescent="0.3"/>
    <row r="2200" hidden="1" x14ac:dyDescent="0.3"/>
    <row r="2201" hidden="1" x14ac:dyDescent="0.3"/>
    <row r="2202" hidden="1" x14ac:dyDescent="0.3"/>
    <row r="2203" hidden="1" x14ac:dyDescent="0.3"/>
    <row r="2204" hidden="1" x14ac:dyDescent="0.3"/>
    <row r="2205" hidden="1" x14ac:dyDescent="0.3"/>
    <row r="2206" hidden="1" x14ac:dyDescent="0.3"/>
    <row r="2207" hidden="1" x14ac:dyDescent="0.3"/>
    <row r="2208" hidden="1" x14ac:dyDescent="0.3"/>
    <row r="2209" hidden="1" x14ac:dyDescent="0.3"/>
    <row r="2210" hidden="1" x14ac:dyDescent="0.3"/>
    <row r="2211" hidden="1" x14ac:dyDescent="0.3"/>
    <row r="2212" hidden="1" x14ac:dyDescent="0.3"/>
    <row r="2213" hidden="1" x14ac:dyDescent="0.3"/>
    <row r="2214" hidden="1" x14ac:dyDescent="0.3"/>
    <row r="2215" hidden="1" x14ac:dyDescent="0.3"/>
    <row r="2216" hidden="1" x14ac:dyDescent="0.3"/>
    <row r="2217" hidden="1" x14ac:dyDescent="0.3"/>
    <row r="2218" hidden="1" x14ac:dyDescent="0.3"/>
    <row r="2219" hidden="1" x14ac:dyDescent="0.3"/>
    <row r="2220" hidden="1" x14ac:dyDescent="0.3"/>
    <row r="2221" hidden="1" x14ac:dyDescent="0.3"/>
    <row r="2222" hidden="1" x14ac:dyDescent="0.3"/>
    <row r="2223" hidden="1" x14ac:dyDescent="0.3"/>
    <row r="2224" hidden="1" x14ac:dyDescent="0.3"/>
    <row r="2225" hidden="1" x14ac:dyDescent="0.3"/>
    <row r="2226" hidden="1" x14ac:dyDescent="0.3"/>
    <row r="2227" hidden="1" x14ac:dyDescent="0.3"/>
    <row r="2228" hidden="1" x14ac:dyDescent="0.3"/>
    <row r="2229" hidden="1" x14ac:dyDescent="0.3"/>
    <row r="2230" hidden="1" x14ac:dyDescent="0.3"/>
    <row r="2231" hidden="1" x14ac:dyDescent="0.3"/>
    <row r="2232" hidden="1" x14ac:dyDescent="0.3"/>
    <row r="2233" hidden="1" x14ac:dyDescent="0.3"/>
    <row r="2234" hidden="1" x14ac:dyDescent="0.3"/>
    <row r="2235" hidden="1" x14ac:dyDescent="0.3"/>
    <row r="2236" hidden="1" x14ac:dyDescent="0.3"/>
    <row r="2237" hidden="1" x14ac:dyDescent="0.3"/>
    <row r="2238" hidden="1" x14ac:dyDescent="0.3"/>
    <row r="2239" hidden="1" x14ac:dyDescent="0.3"/>
    <row r="2240" hidden="1" x14ac:dyDescent="0.3"/>
    <row r="2241" hidden="1" x14ac:dyDescent="0.3"/>
    <row r="2242" hidden="1" x14ac:dyDescent="0.3"/>
    <row r="2243" hidden="1" x14ac:dyDescent="0.3"/>
    <row r="2244" hidden="1" x14ac:dyDescent="0.3"/>
    <row r="2245" hidden="1" x14ac:dyDescent="0.3"/>
    <row r="2246" hidden="1" x14ac:dyDescent="0.3"/>
    <row r="2247" hidden="1" x14ac:dyDescent="0.3"/>
    <row r="2248" hidden="1" x14ac:dyDescent="0.3"/>
    <row r="2249" hidden="1" x14ac:dyDescent="0.3"/>
    <row r="2250" hidden="1" x14ac:dyDescent="0.3"/>
    <row r="2251" hidden="1" x14ac:dyDescent="0.3"/>
    <row r="2252" hidden="1" x14ac:dyDescent="0.3"/>
    <row r="2253" hidden="1" x14ac:dyDescent="0.3"/>
    <row r="2254" hidden="1" x14ac:dyDescent="0.3"/>
    <row r="2255" hidden="1" x14ac:dyDescent="0.3"/>
    <row r="2256" hidden="1" x14ac:dyDescent="0.3"/>
    <row r="2257" hidden="1" x14ac:dyDescent="0.3"/>
    <row r="2258" hidden="1" x14ac:dyDescent="0.3"/>
    <row r="2259" hidden="1" x14ac:dyDescent="0.3"/>
    <row r="2260" hidden="1" x14ac:dyDescent="0.3"/>
    <row r="2261" hidden="1" x14ac:dyDescent="0.3"/>
    <row r="2262" hidden="1" x14ac:dyDescent="0.3"/>
    <row r="2263" hidden="1" x14ac:dyDescent="0.3"/>
    <row r="2264" hidden="1" x14ac:dyDescent="0.3"/>
    <row r="2265" hidden="1" x14ac:dyDescent="0.3"/>
    <row r="2266" hidden="1" x14ac:dyDescent="0.3"/>
    <row r="2267" hidden="1" x14ac:dyDescent="0.3"/>
    <row r="2268" hidden="1" x14ac:dyDescent="0.3"/>
    <row r="2269" hidden="1" x14ac:dyDescent="0.3"/>
    <row r="2270" hidden="1" x14ac:dyDescent="0.3"/>
    <row r="2271" hidden="1" x14ac:dyDescent="0.3"/>
    <row r="2272" hidden="1" x14ac:dyDescent="0.3"/>
    <row r="2273" hidden="1" x14ac:dyDescent="0.3"/>
    <row r="2274" hidden="1" x14ac:dyDescent="0.3"/>
    <row r="2275" hidden="1" x14ac:dyDescent="0.3"/>
    <row r="2276" hidden="1" x14ac:dyDescent="0.3"/>
    <row r="2277" hidden="1" x14ac:dyDescent="0.3"/>
    <row r="2278" hidden="1" x14ac:dyDescent="0.3"/>
    <row r="2279" hidden="1" x14ac:dyDescent="0.3"/>
    <row r="2280" hidden="1" x14ac:dyDescent="0.3"/>
    <row r="2281" hidden="1" x14ac:dyDescent="0.3"/>
    <row r="2282" hidden="1" x14ac:dyDescent="0.3"/>
    <row r="2283" hidden="1" x14ac:dyDescent="0.3"/>
    <row r="2284" hidden="1" x14ac:dyDescent="0.3"/>
    <row r="2285" hidden="1" x14ac:dyDescent="0.3"/>
    <row r="2286" hidden="1" x14ac:dyDescent="0.3"/>
    <row r="2287" hidden="1" x14ac:dyDescent="0.3"/>
    <row r="2288" hidden="1" x14ac:dyDescent="0.3"/>
    <row r="2289" hidden="1" x14ac:dyDescent="0.3"/>
    <row r="2290" hidden="1" x14ac:dyDescent="0.3"/>
    <row r="2291" hidden="1" x14ac:dyDescent="0.3"/>
    <row r="2292" hidden="1" x14ac:dyDescent="0.3"/>
    <row r="2293" hidden="1" x14ac:dyDescent="0.3"/>
    <row r="2294" hidden="1" x14ac:dyDescent="0.3"/>
    <row r="2295" hidden="1" x14ac:dyDescent="0.3"/>
    <row r="2296" hidden="1" x14ac:dyDescent="0.3"/>
    <row r="2297" hidden="1" x14ac:dyDescent="0.3"/>
    <row r="2298" hidden="1" x14ac:dyDescent="0.3"/>
    <row r="2299" hidden="1" x14ac:dyDescent="0.3"/>
    <row r="2300" hidden="1" x14ac:dyDescent="0.3"/>
    <row r="2301" hidden="1" x14ac:dyDescent="0.3"/>
    <row r="2302" hidden="1" x14ac:dyDescent="0.3"/>
    <row r="2303" hidden="1" x14ac:dyDescent="0.3"/>
    <row r="2304" hidden="1" x14ac:dyDescent="0.3"/>
    <row r="2305" hidden="1" x14ac:dyDescent="0.3"/>
    <row r="2306" hidden="1" x14ac:dyDescent="0.3"/>
    <row r="2307" hidden="1" x14ac:dyDescent="0.3"/>
    <row r="2308" hidden="1" x14ac:dyDescent="0.3"/>
    <row r="2309" hidden="1" x14ac:dyDescent="0.3"/>
    <row r="2310" hidden="1" x14ac:dyDescent="0.3"/>
    <row r="2311" hidden="1" x14ac:dyDescent="0.3"/>
    <row r="2312" hidden="1" x14ac:dyDescent="0.3"/>
    <row r="2313" hidden="1" x14ac:dyDescent="0.3"/>
    <row r="2314" hidden="1" x14ac:dyDescent="0.3"/>
    <row r="2315" hidden="1" x14ac:dyDescent="0.3"/>
    <row r="2316" hidden="1" x14ac:dyDescent="0.3"/>
    <row r="2317" hidden="1" x14ac:dyDescent="0.3"/>
    <row r="2318" hidden="1" x14ac:dyDescent="0.3"/>
    <row r="2319" hidden="1" x14ac:dyDescent="0.3"/>
    <row r="2320" hidden="1" x14ac:dyDescent="0.3"/>
    <row r="2321" hidden="1" x14ac:dyDescent="0.3"/>
    <row r="2322" hidden="1" x14ac:dyDescent="0.3"/>
    <row r="2323" hidden="1" x14ac:dyDescent="0.3"/>
    <row r="2324" hidden="1" x14ac:dyDescent="0.3"/>
    <row r="2325" hidden="1" x14ac:dyDescent="0.3"/>
    <row r="2326" hidden="1" x14ac:dyDescent="0.3"/>
    <row r="2327" hidden="1" x14ac:dyDescent="0.3"/>
    <row r="2328" hidden="1" x14ac:dyDescent="0.3"/>
    <row r="2329" hidden="1" x14ac:dyDescent="0.3"/>
    <row r="2330" hidden="1" x14ac:dyDescent="0.3"/>
    <row r="2331" hidden="1" x14ac:dyDescent="0.3"/>
    <row r="2332" hidden="1" x14ac:dyDescent="0.3"/>
    <row r="2333" hidden="1" x14ac:dyDescent="0.3"/>
    <row r="2334" hidden="1" x14ac:dyDescent="0.3"/>
    <row r="2335" hidden="1" x14ac:dyDescent="0.3"/>
    <row r="2336" hidden="1" x14ac:dyDescent="0.3"/>
    <row r="2337" hidden="1" x14ac:dyDescent="0.3"/>
    <row r="2338" hidden="1" x14ac:dyDescent="0.3"/>
    <row r="2339" hidden="1" x14ac:dyDescent="0.3"/>
    <row r="2340" hidden="1" x14ac:dyDescent="0.3"/>
    <row r="2341" hidden="1" x14ac:dyDescent="0.3"/>
    <row r="2342" hidden="1" x14ac:dyDescent="0.3"/>
    <row r="2343" hidden="1" x14ac:dyDescent="0.3"/>
    <row r="2344" hidden="1" x14ac:dyDescent="0.3"/>
    <row r="2345" hidden="1" x14ac:dyDescent="0.3"/>
    <row r="2346" hidden="1" x14ac:dyDescent="0.3"/>
    <row r="2347" hidden="1" x14ac:dyDescent="0.3"/>
    <row r="2348" hidden="1" x14ac:dyDescent="0.3"/>
    <row r="2349" hidden="1" x14ac:dyDescent="0.3"/>
    <row r="2350" hidden="1" x14ac:dyDescent="0.3"/>
    <row r="2351" hidden="1" x14ac:dyDescent="0.3"/>
    <row r="2352" hidden="1" x14ac:dyDescent="0.3"/>
    <row r="2353" hidden="1" x14ac:dyDescent="0.3"/>
    <row r="2354" hidden="1" x14ac:dyDescent="0.3"/>
    <row r="2355" hidden="1" x14ac:dyDescent="0.3"/>
    <row r="2356" hidden="1" x14ac:dyDescent="0.3"/>
    <row r="2357" hidden="1" x14ac:dyDescent="0.3"/>
    <row r="2358" hidden="1" x14ac:dyDescent="0.3"/>
    <row r="2359" hidden="1" x14ac:dyDescent="0.3"/>
    <row r="2360" hidden="1" x14ac:dyDescent="0.3"/>
    <row r="2361" hidden="1" x14ac:dyDescent="0.3"/>
    <row r="2362" hidden="1" x14ac:dyDescent="0.3"/>
    <row r="2363" hidden="1" x14ac:dyDescent="0.3"/>
    <row r="2364" hidden="1" x14ac:dyDescent="0.3"/>
    <row r="2365" hidden="1" x14ac:dyDescent="0.3"/>
    <row r="2366" hidden="1" x14ac:dyDescent="0.3"/>
    <row r="2367" hidden="1" x14ac:dyDescent="0.3"/>
    <row r="2368" hidden="1" x14ac:dyDescent="0.3"/>
    <row r="2369" hidden="1" x14ac:dyDescent="0.3"/>
    <row r="2370" hidden="1" x14ac:dyDescent="0.3"/>
    <row r="2371" hidden="1" x14ac:dyDescent="0.3"/>
    <row r="2372" hidden="1" x14ac:dyDescent="0.3"/>
    <row r="2373" hidden="1" x14ac:dyDescent="0.3"/>
    <row r="2374" hidden="1" x14ac:dyDescent="0.3"/>
    <row r="2375" hidden="1" x14ac:dyDescent="0.3"/>
    <row r="2376" hidden="1" x14ac:dyDescent="0.3"/>
    <row r="2377" hidden="1" x14ac:dyDescent="0.3"/>
    <row r="2378" hidden="1" x14ac:dyDescent="0.3"/>
    <row r="2379" hidden="1" x14ac:dyDescent="0.3"/>
    <row r="2380" hidden="1" x14ac:dyDescent="0.3"/>
    <row r="2381" hidden="1" x14ac:dyDescent="0.3"/>
    <row r="2382" hidden="1" x14ac:dyDescent="0.3"/>
    <row r="2383" hidden="1" x14ac:dyDescent="0.3"/>
    <row r="2384" hidden="1" x14ac:dyDescent="0.3"/>
    <row r="2385" hidden="1" x14ac:dyDescent="0.3"/>
    <row r="2386" hidden="1" x14ac:dyDescent="0.3"/>
    <row r="2387" hidden="1" x14ac:dyDescent="0.3"/>
    <row r="2388" hidden="1" x14ac:dyDescent="0.3"/>
    <row r="2389" hidden="1" x14ac:dyDescent="0.3"/>
    <row r="2390" hidden="1" x14ac:dyDescent="0.3"/>
    <row r="2391" hidden="1" x14ac:dyDescent="0.3"/>
    <row r="2392" hidden="1" x14ac:dyDescent="0.3"/>
    <row r="2393" hidden="1" x14ac:dyDescent="0.3"/>
    <row r="2394" hidden="1" x14ac:dyDescent="0.3"/>
    <row r="2395" hidden="1" x14ac:dyDescent="0.3"/>
    <row r="2396" hidden="1" x14ac:dyDescent="0.3"/>
    <row r="2397" hidden="1" x14ac:dyDescent="0.3"/>
    <row r="2398" hidden="1" x14ac:dyDescent="0.3"/>
    <row r="2399" hidden="1" x14ac:dyDescent="0.3"/>
    <row r="2400" hidden="1" x14ac:dyDescent="0.3"/>
    <row r="2401" hidden="1" x14ac:dyDescent="0.3"/>
    <row r="2402" hidden="1" x14ac:dyDescent="0.3"/>
    <row r="2403" hidden="1" x14ac:dyDescent="0.3"/>
    <row r="2404" hidden="1" x14ac:dyDescent="0.3"/>
    <row r="2405" hidden="1" x14ac:dyDescent="0.3"/>
    <row r="2406" hidden="1" x14ac:dyDescent="0.3"/>
    <row r="2407" hidden="1" x14ac:dyDescent="0.3"/>
    <row r="2408" hidden="1" x14ac:dyDescent="0.3"/>
    <row r="2409" hidden="1" x14ac:dyDescent="0.3"/>
    <row r="2410" hidden="1" x14ac:dyDescent="0.3"/>
    <row r="2411" hidden="1" x14ac:dyDescent="0.3"/>
    <row r="2412" hidden="1" x14ac:dyDescent="0.3"/>
    <row r="2413" hidden="1" x14ac:dyDescent="0.3"/>
    <row r="2414" hidden="1" x14ac:dyDescent="0.3"/>
    <row r="2415" hidden="1" x14ac:dyDescent="0.3"/>
    <row r="2416" hidden="1" x14ac:dyDescent="0.3"/>
    <row r="2417" hidden="1" x14ac:dyDescent="0.3"/>
    <row r="2418" hidden="1" x14ac:dyDescent="0.3"/>
    <row r="2419" hidden="1" x14ac:dyDescent="0.3"/>
    <row r="2420" hidden="1" x14ac:dyDescent="0.3"/>
    <row r="2421" hidden="1" x14ac:dyDescent="0.3"/>
    <row r="2422" hidden="1" x14ac:dyDescent="0.3"/>
    <row r="2423" hidden="1" x14ac:dyDescent="0.3"/>
    <row r="2424" hidden="1" x14ac:dyDescent="0.3"/>
    <row r="2425" hidden="1" x14ac:dyDescent="0.3"/>
    <row r="2426" hidden="1" x14ac:dyDescent="0.3"/>
    <row r="2427" hidden="1" x14ac:dyDescent="0.3"/>
    <row r="2428" hidden="1" x14ac:dyDescent="0.3"/>
    <row r="2429" hidden="1" x14ac:dyDescent="0.3"/>
    <row r="2430" hidden="1" x14ac:dyDescent="0.3"/>
    <row r="2431" hidden="1" x14ac:dyDescent="0.3"/>
    <row r="2432" hidden="1" x14ac:dyDescent="0.3"/>
    <row r="2433" hidden="1" x14ac:dyDescent="0.3"/>
    <row r="2434" hidden="1" x14ac:dyDescent="0.3"/>
    <row r="2435" hidden="1" x14ac:dyDescent="0.3"/>
    <row r="2436" hidden="1" x14ac:dyDescent="0.3"/>
    <row r="2437" hidden="1" x14ac:dyDescent="0.3"/>
    <row r="2438" hidden="1" x14ac:dyDescent="0.3"/>
    <row r="2439" hidden="1" x14ac:dyDescent="0.3"/>
    <row r="2440" hidden="1" x14ac:dyDescent="0.3"/>
    <row r="2441" hidden="1" x14ac:dyDescent="0.3"/>
    <row r="2442" hidden="1" x14ac:dyDescent="0.3"/>
    <row r="2443" hidden="1" x14ac:dyDescent="0.3"/>
    <row r="2444" hidden="1" x14ac:dyDescent="0.3"/>
    <row r="2445" hidden="1" x14ac:dyDescent="0.3"/>
    <row r="2446" hidden="1" x14ac:dyDescent="0.3"/>
    <row r="2447" hidden="1" x14ac:dyDescent="0.3"/>
    <row r="2448" hidden="1" x14ac:dyDescent="0.3"/>
    <row r="2449" hidden="1" x14ac:dyDescent="0.3"/>
    <row r="2450" hidden="1" x14ac:dyDescent="0.3"/>
    <row r="2451" hidden="1" x14ac:dyDescent="0.3"/>
    <row r="2452" hidden="1" x14ac:dyDescent="0.3"/>
    <row r="2453" hidden="1" x14ac:dyDescent="0.3"/>
    <row r="2454" hidden="1" x14ac:dyDescent="0.3"/>
    <row r="2455" hidden="1" x14ac:dyDescent="0.3"/>
    <row r="2456" hidden="1" x14ac:dyDescent="0.3"/>
    <row r="2457" hidden="1" x14ac:dyDescent="0.3"/>
    <row r="2458" hidden="1" x14ac:dyDescent="0.3"/>
    <row r="2459" hidden="1" x14ac:dyDescent="0.3"/>
    <row r="2460" hidden="1" x14ac:dyDescent="0.3"/>
    <row r="2461" hidden="1" x14ac:dyDescent="0.3"/>
    <row r="2462" hidden="1" x14ac:dyDescent="0.3"/>
    <row r="2463" hidden="1" x14ac:dyDescent="0.3"/>
    <row r="2464" hidden="1" x14ac:dyDescent="0.3"/>
    <row r="2465" hidden="1" x14ac:dyDescent="0.3"/>
    <row r="2466" hidden="1" x14ac:dyDescent="0.3"/>
    <row r="2467" hidden="1" x14ac:dyDescent="0.3"/>
    <row r="2468" hidden="1" x14ac:dyDescent="0.3"/>
    <row r="2469" hidden="1" x14ac:dyDescent="0.3"/>
    <row r="2470" hidden="1" x14ac:dyDescent="0.3"/>
    <row r="2471" hidden="1" x14ac:dyDescent="0.3"/>
    <row r="2472" hidden="1" x14ac:dyDescent="0.3"/>
    <row r="2473" hidden="1" x14ac:dyDescent="0.3"/>
    <row r="2474" hidden="1" x14ac:dyDescent="0.3"/>
    <row r="2475" hidden="1" x14ac:dyDescent="0.3"/>
    <row r="2476" hidden="1" x14ac:dyDescent="0.3"/>
    <row r="2477" hidden="1" x14ac:dyDescent="0.3"/>
    <row r="2478" hidden="1" x14ac:dyDescent="0.3"/>
    <row r="2479" hidden="1" x14ac:dyDescent="0.3"/>
    <row r="2480" hidden="1" x14ac:dyDescent="0.3"/>
    <row r="2481" hidden="1" x14ac:dyDescent="0.3"/>
    <row r="2482" hidden="1" x14ac:dyDescent="0.3"/>
    <row r="2483" hidden="1" x14ac:dyDescent="0.3"/>
    <row r="2484" hidden="1" x14ac:dyDescent="0.3"/>
    <row r="2485" hidden="1" x14ac:dyDescent="0.3"/>
    <row r="2486" hidden="1" x14ac:dyDescent="0.3"/>
    <row r="2487" hidden="1" x14ac:dyDescent="0.3"/>
    <row r="2488" hidden="1" x14ac:dyDescent="0.3"/>
    <row r="2489" hidden="1" x14ac:dyDescent="0.3"/>
    <row r="2490" hidden="1" x14ac:dyDescent="0.3"/>
    <row r="2491" hidden="1" x14ac:dyDescent="0.3"/>
    <row r="2492" hidden="1" x14ac:dyDescent="0.3"/>
    <row r="2493" hidden="1" x14ac:dyDescent="0.3"/>
    <row r="2494" hidden="1" x14ac:dyDescent="0.3"/>
    <row r="2495" hidden="1" x14ac:dyDescent="0.3"/>
    <row r="2496" hidden="1" x14ac:dyDescent="0.3"/>
    <row r="2497" hidden="1" x14ac:dyDescent="0.3"/>
    <row r="2498" hidden="1" x14ac:dyDescent="0.3"/>
    <row r="2499" hidden="1" x14ac:dyDescent="0.3"/>
    <row r="2500" hidden="1" x14ac:dyDescent="0.3"/>
    <row r="2501" hidden="1" x14ac:dyDescent="0.3"/>
    <row r="2502" hidden="1" x14ac:dyDescent="0.3"/>
    <row r="2503" hidden="1" x14ac:dyDescent="0.3"/>
    <row r="2504" hidden="1" x14ac:dyDescent="0.3"/>
    <row r="2505" hidden="1" x14ac:dyDescent="0.3"/>
    <row r="2506" hidden="1" x14ac:dyDescent="0.3"/>
    <row r="2507" hidden="1" x14ac:dyDescent="0.3"/>
    <row r="2508" hidden="1" x14ac:dyDescent="0.3"/>
    <row r="2509" hidden="1" x14ac:dyDescent="0.3"/>
    <row r="2510" hidden="1" x14ac:dyDescent="0.3"/>
    <row r="2511" hidden="1" x14ac:dyDescent="0.3"/>
    <row r="2512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hidden="1" x14ac:dyDescent="0.3"/>
    <row r="2530" hidden="1" x14ac:dyDescent="0.3"/>
    <row r="2531" hidden="1" x14ac:dyDescent="0.3"/>
    <row r="2532" hidden="1" x14ac:dyDescent="0.3"/>
    <row r="2533" hidden="1" x14ac:dyDescent="0.3"/>
    <row r="2534" hidden="1" x14ac:dyDescent="0.3"/>
    <row r="2535" hidden="1" x14ac:dyDescent="0.3"/>
    <row r="2536" hidden="1" x14ac:dyDescent="0.3"/>
    <row r="2537" hidden="1" x14ac:dyDescent="0.3"/>
    <row r="2538" hidden="1" x14ac:dyDescent="0.3"/>
    <row r="2539" hidden="1" x14ac:dyDescent="0.3"/>
    <row r="2540" hidden="1" x14ac:dyDescent="0.3"/>
    <row r="2541" hidden="1" x14ac:dyDescent="0.3"/>
    <row r="2542" hidden="1" x14ac:dyDescent="0.3"/>
    <row r="2543" hidden="1" x14ac:dyDescent="0.3"/>
    <row r="2544" hidden="1" x14ac:dyDescent="0.3"/>
    <row r="2545" hidden="1" x14ac:dyDescent="0.3"/>
    <row r="2546" hidden="1" x14ac:dyDescent="0.3"/>
    <row r="2547" hidden="1" x14ac:dyDescent="0.3"/>
    <row r="2548" hidden="1" x14ac:dyDescent="0.3"/>
    <row r="2549" hidden="1" x14ac:dyDescent="0.3"/>
    <row r="2550" hidden="1" x14ac:dyDescent="0.3"/>
    <row r="2551" hidden="1" x14ac:dyDescent="0.3"/>
    <row r="2552" hidden="1" x14ac:dyDescent="0.3"/>
    <row r="2553" hidden="1" x14ac:dyDescent="0.3"/>
    <row r="2554" hidden="1" x14ac:dyDescent="0.3"/>
    <row r="2555" hidden="1" x14ac:dyDescent="0.3"/>
    <row r="2556" hidden="1" x14ac:dyDescent="0.3"/>
    <row r="2557" hidden="1" x14ac:dyDescent="0.3"/>
    <row r="2558" hidden="1" x14ac:dyDescent="0.3"/>
    <row r="2559" hidden="1" x14ac:dyDescent="0.3"/>
    <row r="2560" hidden="1" x14ac:dyDescent="0.3"/>
    <row r="2561" hidden="1" x14ac:dyDescent="0.3"/>
    <row r="2562" hidden="1" x14ac:dyDescent="0.3"/>
    <row r="2563" hidden="1" x14ac:dyDescent="0.3"/>
    <row r="2564" hidden="1" x14ac:dyDescent="0.3"/>
    <row r="2565" hidden="1" x14ac:dyDescent="0.3"/>
    <row r="2566" hidden="1" x14ac:dyDescent="0.3"/>
    <row r="2567" hidden="1" x14ac:dyDescent="0.3"/>
    <row r="2568" hidden="1" x14ac:dyDescent="0.3"/>
    <row r="2569" hidden="1" x14ac:dyDescent="0.3"/>
    <row r="2570" hidden="1" x14ac:dyDescent="0.3"/>
    <row r="2571" hidden="1" x14ac:dyDescent="0.3"/>
    <row r="2572" hidden="1" x14ac:dyDescent="0.3"/>
    <row r="2573" hidden="1" x14ac:dyDescent="0.3"/>
    <row r="2574" hidden="1" x14ac:dyDescent="0.3"/>
    <row r="2575" hidden="1" x14ac:dyDescent="0.3"/>
    <row r="2576" hidden="1" x14ac:dyDescent="0.3"/>
    <row r="2577" hidden="1" x14ac:dyDescent="0.3"/>
    <row r="2578" hidden="1" x14ac:dyDescent="0.3"/>
    <row r="2579" hidden="1" x14ac:dyDescent="0.3"/>
    <row r="2580" hidden="1" x14ac:dyDescent="0.3"/>
    <row r="2581" hidden="1" x14ac:dyDescent="0.3"/>
    <row r="2582" hidden="1" x14ac:dyDescent="0.3"/>
    <row r="2583" hidden="1" x14ac:dyDescent="0.3"/>
    <row r="2584" hidden="1" x14ac:dyDescent="0.3"/>
    <row r="2585" hidden="1" x14ac:dyDescent="0.3"/>
    <row r="2586" hidden="1" x14ac:dyDescent="0.3"/>
    <row r="2587" hidden="1" x14ac:dyDescent="0.3"/>
    <row r="2588" hidden="1" x14ac:dyDescent="0.3"/>
    <row r="2589" hidden="1" x14ac:dyDescent="0.3"/>
    <row r="2590" hidden="1" x14ac:dyDescent="0.3"/>
    <row r="2591" hidden="1" x14ac:dyDescent="0.3"/>
    <row r="2592" hidden="1" x14ac:dyDescent="0.3"/>
    <row r="2593" hidden="1" x14ac:dyDescent="0.3"/>
    <row r="2594" hidden="1" x14ac:dyDescent="0.3"/>
    <row r="2595" hidden="1" x14ac:dyDescent="0.3"/>
    <row r="2596" hidden="1" x14ac:dyDescent="0.3"/>
    <row r="2597" hidden="1" x14ac:dyDescent="0.3"/>
    <row r="2598" hidden="1" x14ac:dyDescent="0.3"/>
    <row r="2599" hidden="1" x14ac:dyDescent="0.3"/>
    <row r="2600" hidden="1" x14ac:dyDescent="0.3"/>
    <row r="2601" hidden="1" x14ac:dyDescent="0.3"/>
    <row r="2602" hidden="1" x14ac:dyDescent="0.3"/>
    <row r="2603" hidden="1" x14ac:dyDescent="0.3"/>
    <row r="2604" hidden="1" x14ac:dyDescent="0.3"/>
    <row r="2605" hidden="1" x14ac:dyDescent="0.3"/>
    <row r="2606" hidden="1" x14ac:dyDescent="0.3"/>
    <row r="2607" hidden="1" x14ac:dyDescent="0.3"/>
    <row r="2608" hidden="1" x14ac:dyDescent="0.3"/>
    <row r="2609" hidden="1" x14ac:dyDescent="0.3"/>
    <row r="2610" hidden="1" x14ac:dyDescent="0.3"/>
    <row r="2611" hidden="1" x14ac:dyDescent="0.3"/>
    <row r="2612" hidden="1" x14ac:dyDescent="0.3"/>
    <row r="2613" hidden="1" x14ac:dyDescent="0.3"/>
    <row r="2614" hidden="1" x14ac:dyDescent="0.3"/>
    <row r="2615" hidden="1" x14ac:dyDescent="0.3"/>
    <row r="2616" hidden="1" x14ac:dyDescent="0.3"/>
    <row r="2617" hidden="1" x14ac:dyDescent="0.3"/>
    <row r="2618" hidden="1" x14ac:dyDescent="0.3"/>
    <row r="2619" hidden="1" x14ac:dyDescent="0.3"/>
    <row r="2620" hidden="1" x14ac:dyDescent="0.3"/>
    <row r="2621" hidden="1" x14ac:dyDescent="0.3"/>
    <row r="2622" hidden="1" x14ac:dyDescent="0.3"/>
    <row r="2623" hidden="1" x14ac:dyDescent="0.3"/>
    <row r="2624" hidden="1" x14ac:dyDescent="0.3"/>
    <row r="2625" hidden="1" x14ac:dyDescent="0.3"/>
    <row r="2626" hidden="1" x14ac:dyDescent="0.3"/>
    <row r="2627" hidden="1" x14ac:dyDescent="0.3"/>
    <row r="2628" hidden="1" x14ac:dyDescent="0.3"/>
    <row r="2629" hidden="1" x14ac:dyDescent="0.3"/>
    <row r="2630" hidden="1" x14ac:dyDescent="0.3"/>
    <row r="2631" hidden="1" x14ac:dyDescent="0.3"/>
    <row r="2632" hidden="1" x14ac:dyDescent="0.3"/>
    <row r="2633" hidden="1" x14ac:dyDescent="0.3"/>
    <row r="2634" hidden="1" x14ac:dyDescent="0.3"/>
    <row r="2635" hidden="1" x14ac:dyDescent="0.3"/>
    <row r="2636" hidden="1" x14ac:dyDescent="0.3"/>
    <row r="2637" hidden="1" x14ac:dyDescent="0.3"/>
    <row r="2638" hidden="1" x14ac:dyDescent="0.3"/>
    <row r="2639" hidden="1" x14ac:dyDescent="0.3"/>
    <row r="2640" hidden="1" x14ac:dyDescent="0.3"/>
    <row r="2641" hidden="1" x14ac:dyDescent="0.3"/>
    <row r="2642" hidden="1" x14ac:dyDescent="0.3"/>
    <row r="2643" hidden="1" x14ac:dyDescent="0.3"/>
    <row r="2644" hidden="1" x14ac:dyDescent="0.3"/>
    <row r="2645" hidden="1" x14ac:dyDescent="0.3"/>
    <row r="2646" hidden="1" x14ac:dyDescent="0.3"/>
    <row r="2647" hidden="1" x14ac:dyDescent="0.3"/>
    <row r="2648" hidden="1" x14ac:dyDescent="0.3"/>
    <row r="2649" hidden="1" x14ac:dyDescent="0.3"/>
    <row r="2650" hidden="1" x14ac:dyDescent="0.3"/>
    <row r="2651" hidden="1" x14ac:dyDescent="0.3"/>
    <row r="2652" hidden="1" x14ac:dyDescent="0.3"/>
    <row r="2653" hidden="1" x14ac:dyDescent="0.3"/>
    <row r="2654" hidden="1" x14ac:dyDescent="0.3"/>
    <row r="2655" hidden="1" x14ac:dyDescent="0.3"/>
    <row r="2656" hidden="1" x14ac:dyDescent="0.3"/>
    <row r="2657" hidden="1" x14ac:dyDescent="0.3"/>
    <row r="2658" hidden="1" x14ac:dyDescent="0.3"/>
    <row r="2659" hidden="1" x14ac:dyDescent="0.3"/>
    <row r="2660" hidden="1" x14ac:dyDescent="0.3"/>
    <row r="2661" hidden="1" x14ac:dyDescent="0.3"/>
    <row r="2662" hidden="1" x14ac:dyDescent="0.3"/>
    <row r="2663" hidden="1" x14ac:dyDescent="0.3"/>
    <row r="2664" hidden="1" x14ac:dyDescent="0.3"/>
    <row r="2665" hidden="1" x14ac:dyDescent="0.3"/>
    <row r="2666" hidden="1" x14ac:dyDescent="0.3"/>
    <row r="2667" hidden="1" x14ac:dyDescent="0.3"/>
    <row r="2668" hidden="1" x14ac:dyDescent="0.3"/>
    <row r="2669" hidden="1" x14ac:dyDescent="0.3"/>
    <row r="2670" hidden="1" x14ac:dyDescent="0.3"/>
    <row r="2671" hidden="1" x14ac:dyDescent="0.3"/>
    <row r="2672" hidden="1" x14ac:dyDescent="0.3"/>
    <row r="2673" hidden="1" x14ac:dyDescent="0.3"/>
    <row r="2674" hidden="1" x14ac:dyDescent="0.3"/>
    <row r="2675" hidden="1" x14ac:dyDescent="0.3"/>
    <row r="2676" hidden="1" x14ac:dyDescent="0.3"/>
    <row r="2677" hidden="1" x14ac:dyDescent="0.3"/>
    <row r="2678" hidden="1" x14ac:dyDescent="0.3"/>
    <row r="2679" hidden="1" x14ac:dyDescent="0.3"/>
    <row r="2680" hidden="1" x14ac:dyDescent="0.3"/>
    <row r="2681" hidden="1" x14ac:dyDescent="0.3"/>
    <row r="2682" hidden="1" x14ac:dyDescent="0.3"/>
    <row r="2683" hidden="1" x14ac:dyDescent="0.3"/>
    <row r="2684" hidden="1" x14ac:dyDescent="0.3"/>
    <row r="2685" hidden="1" x14ac:dyDescent="0.3"/>
    <row r="2686" hidden="1" x14ac:dyDescent="0.3"/>
    <row r="2687" hidden="1" x14ac:dyDescent="0.3"/>
    <row r="2688" hidden="1" x14ac:dyDescent="0.3"/>
    <row r="2689" hidden="1" x14ac:dyDescent="0.3"/>
    <row r="2690" hidden="1" x14ac:dyDescent="0.3"/>
    <row r="2691" hidden="1" x14ac:dyDescent="0.3"/>
    <row r="2692" hidden="1" x14ac:dyDescent="0.3"/>
    <row r="2693" hidden="1" x14ac:dyDescent="0.3"/>
    <row r="2694" hidden="1" x14ac:dyDescent="0.3"/>
    <row r="2695" hidden="1" x14ac:dyDescent="0.3"/>
    <row r="2696" hidden="1" x14ac:dyDescent="0.3"/>
    <row r="2697" hidden="1" x14ac:dyDescent="0.3"/>
    <row r="2698" hidden="1" x14ac:dyDescent="0.3"/>
    <row r="2699" hidden="1" x14ac:dyDescent="0.3"/>
    <row r="2700" hidden="1" x14ac:dyDescent="0.3"/>
    <row r="2701" hidden="1" x14ac:dyDescent="0.3"/>
    <row r="2702" hidden="1" x14ac:dyDescent="0.3"/>
    <row r="2703" hidden="1" x14ac:dyDescent="0.3"/>
    <row r="2704" hidden="1" x14ac:dyDescent="0.3"/>
    <row r="2705" hidden="1" x14ac:dyDescent="0.3"/>
    <row r="2706" hidden="1" x14ac:dyDescent="0.3"/>
    <row r="2707" hidden="1" x14ac:dyDescent="0.3"/>
    <row r="2708" hidden="1" x14ac:dyDescent="0.3"/>
    <row r="2709" hidden="1" x14ac:dyDescent="0.3"/>
    <row r="2710" hidden="1" x14ac:dyDescent="0.3"/>
    <row r="2711" hidden="1" x14ac:dyDescent="0.3"/>
    <row r="2712" hidden="1" x14ac:dyDescent="0.3"/>
    <row r="2713" hidden="1" x14ac:dyDescent="0.3"/>
    <row r="2714" hidden="1" x14ac:dyDescent="0.3"/>
    <row r="2715" hidden="1" x14ac:dyDescent="0.3"/>
    <row r="2716" hidden="1" x14ac:dyDescent="0.3"/>
    <row r="2717" hidden="1" x14ac:dyDescent="0.3"/>
    <row r="2718" hidden="1" x14ac:dyDescent="0.3"/>
    <row r="2719" hidden="1" x14ac:dyDescent="0.3"/>
    <row r="2720" hidden="1" x14ac:dyDescent="0.3"/>
    <row r="2721" hidden="1" x14ac:dyDescent="0.3"/>
    <row r="2722" hidden="1" x14ac:dyDescent="0.3"/>
    <row r="2723" hidden="1" x14ac:dyDescent="0.3"/>
    <row r="2724" hidden="1" x14ac:dyDescent="0.3"/>
    <row r="2725" hidden="1" x14ac:dyDescent="0.3"/>
    <row r="2726" hidden="1" x14ac:dyDescent="0.3"/>
    <row r="2727" hidden="1" x14ac:dyDescent="0.3"/>
    <row r="2728" hidden="1" x14ac:dyDescent="0.3"/>
    <row r="2729" hidden="1" x14ac:dyDescent="0.3"/>
    <row r="2730" hidden="1" x14ac:dyDescent="0.3"/>
    <row r="2731" hidden="1" x14ac:dyDescent="0.3"/>
    <row r="2732" hidden="1" x14ac:dyDescent="0.3"/>
    <row r="2733" hidden="1" x14ac:dyDescent="0.3"/>
    <row r="2734" hidden="1" x14ac:dyDescent="0.3"/>
    <row r="2735" hidden="1" x14ac:dyDescent="0.3"/>
    <row r="2736" hidden="1" x14ac:dyDescent="0.3"/>
    <row r="2737" hidden="1" x14ac:dyDescent="0.3"/>
    <row r="2738" hidden="1" x14ac:dyDescent="0.3"/>
    <row r="2739" hidden="1" x14ac:dyDescent="0.3"/>
    <row r="2740" hidden="1" x14ac:dyDescent="0.3"/>
    <row r="2741" hidden="1" x14ac:dyDescent="0.3"/>
    <row r="2742" hidden="1" x14ac:dyDescent="0.3"/>
    <row r="2743" hidden="1" x14ac:dyDescent="0.3"/>
    <row r="2744" hidden="1" x14ac:dyDescent="0.3"/>
    <row r="2745" hidden="1" x14ac:dyDescent="0.3"/>
    <row r="2746" hidden="1" x14ac:dyDescent="0.3"/>
    <row r="2747" hidden="1" x14ac:dyDescent="0.3"/>
    <row r="2748" hidden="1" x14ac:dyDescent="0.3"/>
    <row r="2749" hidden="1" x14ac:dyDescent="0.3"/>
    <row r="2750" hidden="1" x14ac:dyDescent="0.3"/>
    <row r="2751" hidden="1" x14ac:dyDescent="0.3"/>
    <row r="2752" hidden="1" x14ac:dyDescent="0.3"/>
    <row r="2753" hidden="1" x14ac:dyDescent="0.3"/>
    <row r="2754" hidden="1" x14ac:dyDescent="0.3"/>
    <row r="2755" hidden="1" x14ac:dyDescent="0.3"/>
    <row r="2756" hidden="1" x14ac:dyDescent="0.3"/>
    <row r="2757" hidden="1" x14ac:dyDescent="0.3"/>
    <row r="2758" hidden="1" x14ac:dyDescent="0.3"/>
    <row r="2759" hidden="1" x14ac:dyDescent="0.3"/>
    <row r="2760" hidden="1" x14ac:dyDescent="0.3"/>
    <row r="2761" hidden="1" x14ac:dyDescent="0.3"/>
    <row r="2762" hidden="1" x14ac:dyDescent="0.3"/>
    <row r="2763" hidden="1" x14ac:dyDescent="0.3"/>
    <row r="2764" hidden="1" x14ac:dyDescent="0.3"/>
    <row r="2765" hidden="1" x14ac:dyDescent="0.3"/>
    <row r="2766" hidden="1" x14ac:dyDescent="0.3"/>
    <row r="2767" hidden="1" x14ac:dyDescent="0.3"/>
    <row r="2768" hidden="1" x14ac:dyDescent="0.3"/>
    <row r="2769" hidden="1" x14ac:dyDescent="0.3"/>
    <row r="2770" hidden="1" x14ac:dyDescent="0.3"/>
    <row r="2771" hidden="1" x14ac:dyDescent="0.3"/>
    <row r="2772" hidden="1" x14ac:dyDescent="0.3"/>
    <row r="2773" hidden="1" x14ac:dyDescent="0.3"/>
    <row r="2774" hidden="1" x14ac:dyDescent="0.3"/>
    <row r="2775" hidden="1" x14ac:dyDescent="0.3"/>
    <row r="2776" hidden="1" x14ac:dyDescent="0.3"/>
    <row r="2777" hidden="1" x14ac:dyDescent="0.3"/>
    <row r="2778" hidden="1" x14ac:dyDescent="0.3"/>
    <row r="2779" hidden="1" x14ac:dyDescent="0.3"/>
    <row r="2780" hidden="1" x14ac:dyDescent="0.3"/>
    <row r="2781" hidden="1" x14ac:dyDescent="0.3"/>
    <row r="2782" hidden="1" x14ac:dyDescent="0.3"/>
    <row r="2783" hidden="1" x14ac:dyDescent="0.3"/>
    <row r="2784" hidden="1" x14ac:dyDescent="0.3"/>
    <row r="2785" hidden="1" x14ac:dyDescent="0.3"/>
    <row r="2786" hidden="1" x14ac:dyDescent="0.3"/>
    <row r="2787" hidden="1" x14ac:dyDescent="0.3"/>
    <row r="2788" hidden="1" x14ac:dyDescent="0.3"/>
    <row r="2789" hidden="1" x14ac:dyDescent="0.3"/>
    <row r="2790" hidden="1" x14ac:dyDescent="0.3"/>
    <row r="2791" hidden="1" x14ac:dyDescent="0.3"/>
    <row r="2792" hidden="1" x14ac:dyDescent="0.3"/>
    <row r="2793" hidden="1" x14ac:dyDescent="0.3"/>
    <row r="2794" hidden="1" x14ac:dyDescent="0.3"/>
    <row r="2795" hidden="1" x14ac:dyDescent="0.3"/>
    <row r="2796" hidden="1" x14ac:dyDescent="0.3"/>
    <row r="2797" hidden="1" x14ac:dyDescent="0.3"/>
    <row r="2798" hidden="1" x14ac:dyDescent="0.3"/>
    <row r="2799" hidden="1" x14ac:dyDescent="0.3"/>
    <row r="2800" hidden="1" x14ac:dyDescent="0.3"/>
    <row r="2801" hidden="1" x14ac:dyDescent="0.3"/>
    <row r="2802" hidden="1" x14ac:dyDescent="0.3"/>
    <row r="2803" hidden="1" x14ac:dyDescent="0.3"/>
    <row r="2804" hidden="1" x14ac:dyDescent="0.3"/>
    <row r="2805" hidden="1" x14ac:dyDescent="0.3"/>
    <row r="2806" hidden="1" x14ac:dyDescent="0.3"/>
    <row r="2807" hidden="1" x14ac:dyDescent="0.3"/>
    <row r="2808" hidden="1" x14ac:dyDescent="0.3"/>
    <row r="2809" hidden="1" x14ac:dyDescent="0.3"/>
    <row r="2810" hidden="1" x14ac:dyDescent="0.3"/>
    <row r="2811" hidden="1" x14ac:dyDescent="0.3"/>
    <row r="2812" hidden="1" x14ac:dyDescent="0.3"/>
    <row r="2813" hidden="1" x14ac:dyDescent="0.3"/>
    <row r="2814" hidden="1" x14ac:dyDescent="0.3"/>
    <row r="2815" hidden="1" x14ac:dyDescent="0.3"/>
    <row r="2816" hidden="1" x14ac:dyDescent="0.3"/>
    <row r="2817" hidden="1" x14ac:dyDescent="0.3"/>
    <row r="2818" hidden="1" x14ac:dyDescent="0.3"/>
    <row r="2819" hidden="1" x14ac:dyDescent="0.3"/>
    <row r="2820" hidden="1" x14ac:dyDescent="0.3"/>
    <row r="2821" hidden="1" x14ac:dyDescent="0.3"/>
    <row r="2822" hidden="1" x14ac:dyDescent="0.3"/>
    <row r="2823" hidden="1" x14ac:dyDescent="0.3"/>
    <row r="2824" hidden="1" x14ac:dyDescent="0.3"/>
    <row r="2825" hidden="1" x14ac:dyDescent="0.3"/>
    <row r="2826" hidden="1" x14ac:dyDescent="0.3"/>
    <row r="2827" hidden="1" x14ac:dyDescent="0.3"/>
    <row r="2828" hidden="1" x14ac:dyDescent="0.3"/>
    <row r="2829" hidden="1" x14ac:dyDescent="0.3"/>
    <row r="2830" hidden="1" x14ac:dyDescent="0.3"/>
    <row r="2831" hidden="1" x14ac:dyDescent="0.3"/>
    <row r="2832" hidden="1" x14ac:dyDescent="0.3"/>
    <row r="2833" hidden="1" x14ac:dyDescent="0.3"/>
    <row r="2834" hidden="1" x14ac:dyDescent="0.3"/>
    <row r="2835" hidden="1" x14ac:dyDescent="0.3"/>
    <row r="2836" hidden="1" x14ac:dyDescent="0.3"/>
    <row r="2837" hidden="1" x14ac:dyDescent="0.3"/>
    <row r="2838" hidden="1" x14ac:dyDescent="0.3"/>
    <row r="2839" hidden="1" x14ac:dyDescent="0.3"/>
    <row r="2840" hidden="1" x14ac:dyDescent="0.3"/>
    <row r="2841" hidden="1" x14ac:dyDescent="0.3"/>
    <row r="2842" hidden="1" x14ac:dyDescent="0.3"/>
    <row r="2843" hidden="1" x14ac:dyDescent="0.3"/>
    <row r="2844" hidden="1" x14ac:dyDescent="0.3"/>
    <row r="2845" hidden="1" x14ac:dyDescent="0.3"/>
    <row r="2846" hidden="1" x14ac:dyDescent="0.3"/>
    <row r="2847" hidden="1" x14ac:dyDescent="0.3"/>
    <row r="2848" hidden="1" x14ac:dyDescent="0.3"/>
    <row r="2849" hidden="1" x14ac:dyDescent="0.3"/>
    <row r="2850" hidden="1" x14ac:dyDescent="0.3"/>
    <row r="2851" hidden="1" x14ac:dyDescent="0.3"/>
    <row r="2852" hidden="1" x14ac:dyDescent="0.3"/>
    <row r="2853" hidden="1" x14ac:dyDescent="0.3"/>
    <row r="2854" hidden="1" x14ac:dyDescent="0.3"/>
    <row r="2855" hidden="1" x14ac:dyDescent="0.3"/>
    <row r="2856" hidden="1" x14ac:dyDescent="0.3"/>
    <row r="2857" hidden="1" x14ac:dyDescent="0.3"/>
    <row r="2858" hidden="1" x14ac:dyDescent="0.3"/>
    <row r="2859" hidden="1" x14ac:dyDescent="0.3"/>
    <row r="2860" hidden="1" x14ac:dyDescent="0.3"/>
    <row r="2861" hidden="1" x14ac:dyDescent="0.3"/>
    <row r="2862" hidden="1" x14ac:dyDescent="0.3"/>
    <row r="2863" hidden="1" x14ac:dyDescent="0.3"/>
    <row r="2864" hidden="1" x14ac:dyDescent="0.3"/>
    <row r="2865" hidden="1" x14ac:dyDescent="0.3"/>
    <row r="2866" hidden="1" x14ac:dyDescent="0.3"/>
    <row r="2867" hidden="1" x14ac:dyDescent="0.3"/>
    <row r="2868" hidden="1" x14ac:dyDescent="0.3"/>
    <row r="2869" hidden="1" x14ac:dyDescent="0.3"/>
    <row r="2870" hidden="1" x14ac:dyDescent="0.3"/>
    <row r="2871" hidden="1" x14ac:dyDescent="0.3"/>
    <row r="2872" hidden="1" x14ac:dyDescent="0.3"/>
    <row r="2873" hidden="1" x14ac:dyDescent="0.3"/>
    <row r="2874" hidden="1" x14ac:dyDescent="0.3"/>
    <row r="2875" hidden="1" x14ac:dyDescent="0.3"/>
    <row r="2876" hidden="1" x14ac:dyDescent="0.3"/>
    <row r="2877" hidden="1" x14ac:dyDescent="0.3"/>
    <row r="2878" hidden="1" x14ac:dyDescent="0.3"/>
    <row r="2879" hidden="1" x14ac:dyDescent="0.3"/>
    <row r="2880" hidden="1" x14ac:dyDescent="0.3"/>
    <row r="2881" hidden="1" x14ac:dyDescent="0.3"/>
    <row r="2882" hidden="1" x14ac:dyDescent="0.3"/>
    <row r="2883" hidden="1" x14ac:dyDescent="0.3"/>
    <row r="2884" hidden="1" x14ac:dyDescent="0.3"/>
    <row r="2885" hidden="1" x14ac:dyDescent="0.3"/>
    <row r="2886" hidden="1" x14ac:dyDescent="0.3"/>
    <row r="2887" hidden="1" x14ac:dyDescent="0.3"/>
    <row r="2888" hidden="1" x14ac:dyDescent="0.3"/>
    <row r="2889" hidden="1" x14ac:dyDescent="0.3"/>
    <row r="2890" hidden="1" x14ac:dyDescent="0.3"/>
    <row r="2891" hidden="1" x14ac:dyDescent="0.3"/>
    <row r="2892" hidden="1" x14ac:dyDescent="0.3"/>
    <row r="2893" hidden="1" x14ac:dyDescent="0.3"/>
    <row r="2894" hidden="1" x14ac:dyDescent="0.3"/>
    <row r="2895" hidden="1" x14ac:dyDescent="0.3"/>
    <row r="2896" hidden="1" x14ac:dyDescent="0.3"/>
    <row r="2897" hidden="1" x14ac:dyDescent="0.3"/>
    <row r="2898" hidden="1" x14ac:dyDescent="0.3"/>
    <row r="2899" hidden="1" x14ac:dyDescent="0.3"/>
    <row r="2900" hidden="1" x14ac:dyDescent="0.3"/>
    <row r="2901" hidden="1" x14ac:dyDescent="0.3"/>
    <row r="2902" hidden="1" x14ac:dyDescent="0.3"/>
    <row r="2903" hidden="1" x14ac:dyDescent="0.3"/>
    <row r="2904" hidden="1" x14ac:dyDescent="0.3"/>
    <row r="2905" hidden="1" x14ac:dyDescent="0.3"/>
    <row r="2906" hidden="1" x14ac:dyDescent="0.3"/>
    <row r="2907" hidden="1" x14ac:dyDescent="0.3"/>
    <row r="2908" hidden="1" x14ac:dyDescent="0.3"/>
    <row r="2909" hidden="1" x14ac:dyDescent="0.3"/>
    <row r="2910" hidden="1" x14ac:dyDescent="0.3"/>
    <row r="2911" hidden="1" x14ac:dyDescent="0.3"/>
    <row r="2912" hidden="1" x14ac:dyDescent="0.3"/>
    <row r="2913" hidden="1" x14ac:dyDescent="0.3"/>
    <row r="2914" hidden="1" x14ac:dyDescent="0.3"/>
    <row r="2915" hidden="1" x14ac:dyDescent="0.3"/>
    <row r="2916" hidden="1" x14ac:dyDescent="0.3"/>
    <row r="2917" hidden="1" x14ac:dyDescent="0.3"/>
    <row r="2918" hidden="1" x14ac:dyDescent="0.3"/>
    <row r="2919" hidden="1" x14ac:dyDescent="0.3"/>
    <row r="2920" hidden="1" x14ac:dyDescent="0.3"/>
    <row r="2921" hidden="1" x14ac:dyDescent="0.3"/>
    <row r="2922" hidden="1" x14ac:dyDescent="0.3"/>
    <row r="2923" hidden="1" x14ac:dyDescent="0.3"/>
    <row r="2924" hidden="1" x14ac:dyDescent="0.3"/>
    <row r="2925" hidden="1" x14ac:dyDescent="0.3"/>
    <row r="2926" hidden="1" x14ac:dyDescent="0.3"/>
    <row r="2927" hidden="1" x14ac:dyDescent="0.3"/>
    <row r="2928" hidden="1" x14ac:dyDescent="0.3"/>
    <row r="2929" hidden="1" x14ac:dyDescent="0.3"/>
    <row r="2930" hidden="1" x14ac:dyDescent="0.3"/>
    <row r="2931" hidden="1" x14ac:dyDescent="0.3"/>
    <row r="2932" hidden="1" x14ac:dyDescent="0.3"/>
    <row r="2933" hidden="1" x14ac:dyDescent="0.3"/>
    <row r="2934" hidden="1" x14ac:dyDescent="0.3"/>
    <row r="2935" hidden="1" x14ac:dyDescent="0.3"/>
    <row r="2936" hidden="1" x14ac:dyDescent="0.3"/>
    <row r="2937" hidden="1" x14ac:dyDescent="0.3"/>
    <row r="2938" hidden="1" x14ac:dyDescent="0.3"/>
    <row r="2939" hidden="1" x14ac:dyDescent="0.3"/>
    <row r="2940" hidden="1" x14ac:dyDescent="0.3"/>
    <row r="2941" hidden="1" x14ac:dyDescent="0.3"/>
    <row r="2942" hidden="1" x14ac:dyDescent="0.3"/>
    <row r="2943" hidden="1" x14ac:dyDescent="0.3"/>
    <row r="2944" hidden="1" x14ac:dyDescent="0.3"/>
    <row r="2945" hidden="1" x14ac:dyDescent="0.3"/>
    <row r="2946" hidden="1" x14ac:dyDescent="0.3"/>
    <row r="2947" hidden="1" x14ac:dyDescent="0.3"/>
    <row r="2948" hidden="1" x14ac:dyDescent="0.3"/>
    <row r="2949" hidden="1" x14ac:dyDescent="0.3"/>
    <row r="2950" hidden="1" x14ac:dyDescent="0.3"/>
    <row r="2951" hidden="1" x14ac:dyDescent="0.3"/>
    <row r="2952" hidden="1" x14ac:dyDescent="0.3"/>
    <row r="2953" hidden="1" x14ac:dyDescent="0.3"/>
    <row r="2954" hidden="1" x14ac:dyDescent="0.3"/>
    <row r="2955" hidden="1" x14ac:dyDescent="0.3"/>
    <row r="2956" hidden="1" x14ac:dyDescent="0.3"/>
    <row r="2957" hidden="1" x14ac:dyDescent="0.3"/>
    <row r="2958" hidden="1" x14ac:dyDescent="0.3"/>
    <row r="2959" hidden="1" x14ac:dyDescent="0.3"/>
    <row r="2960" hidden="1" x14ac:dyDescent="0.3"/>
    <row r="2961" hidden="1" x14ac:dyDescent="0.3"/>
    <row r="2962" hidden="1" x14ac:dyDescent="0.3"/>
    <row r="2963" hidden="1" x14ac:dyDescent="0.3"/>
    <row r="2964" hidden="1" x14ac:dyDescent="0.3"/>
    <row r="2965" hidden="1" x14ac:dyDescent="0.3"/>
    <row r="2966" hidden="1" x14ac:dyDescent="0.3"/>
    <row r="2967" hidden="1" x14ac:dyDescent="0.3"/>
    <row r="2968" hidden="1" x14ac:dyDescent="0.3"/>
    <row r="2969" hidden="1" x14ac:dyDescent="0.3"/>
    <row r="2970" hidden="1" x14ac:dyDescent="0.3"/>
    <row r="2971" hidden="1" x14ac:dyDescent="0.3"/>
    <row r="2972" hidden="1" x14ac:dyDescent="0.3"/>
    <row r="2973" hidden="1" x14ac:dyDescent="0.3"/>
    <row r="2974" hidden="1" x14ac:dyDescent="0.3"/>
    <row r="2975" hidden="1" x14ac:dyDescent="0.3"/>
    <row r="2976" hidden="1" x14ac:dyDescent="0.3"/>
    <row r="2977" hidden="1" x14ac:dyDescent="0.3"/>
    <row r="2978" hidden="1" x14ac:dyDescent="0.3"/>
    <row r="2979" hidden="1" x14ac:dyDescent="0.3"/>
    <row r="2980" hidden="1" x14ac:dyDescent="0.3"/>
    <row r="2981" hidden="1" x14ac:dyDescent="0.3"/>
    <row r="2982" hidden="1" x14ac:dyDescent="0.3"/>
    <row r="2983" hidden="1" x14ac:dyDescent="0.3"/>
    <row r="2984" hidden="1" x14ac:dyDescent="0.3"/>
    <row r="2985" hidden="1" x14ac:dyDescent="0.3"/>
    <row r="2986" hidden="1" x14ac:dyDescent="0.3"/>
    <row r="2987" hidden="1" x14ac:dyDescent="0.3"/>
    <row r="2988" hidden="1" x14ac:dyDescent="0.3"/>
    <row r="2989" hidden="1" x14ac:dyDescent="0.3"/>
    <row r="2990" hidden="1" x14ac:dyDescent="0.3"/>
    <row r="2991" hidden="1" x14ac:dyDescent="0.3"/>
    <row r="2992" hidden="1" x14ac:dyDescent="0.3"/>
    <row r="2993" hidden="1" x14ac:dyDescent="0.3"/>
    <row r="2994" hidden="1" x14ac:dyDescent="0.3"/>
    <row r="2995" hidden="1" x14ac:dyDescent="0.3"/>
    <row r="2996" hidden="1" x14ac:dyDescent="0.3"/>
    <row r="2997" hidden="1" x14ac:dyDescent="0.3"/>
    <row r="2998" hidden="1" x14ac:dyDescent="0.3"/>
    <row r="2999" hidden="1" x14ac:dyDescent="0.3"/>
    <row r="3000" hidden="1" x14ac:dyDescent="0.3"/>
    <row r="3001" hidden="1" x14ac:dyDescent="0.3"/>
    <row r="3002" hidden="1" x14ac:dyDescent="0.3"/>
    <row r="3003" hidden="1" x14ac:dyDescent="0.3"/>
    <row r="3004" hidden="1" x14ac:dyDescent="0.3"/>
    <row r="3005" hidden="1" x14ac:dyDescent="0.3"/>
    <row r="3006" hidden="1" x14ac:dyDescent="0.3"/>
    <row r="3007" hidden="1" x14ac:dyDescent="0.3"/>
    <row r="3008" hidden="1" x14ac:dyDescent="0.3"/>
    <row r="3009" hidden="1" x14ac:dyDescent="0.3"/>
    <row r="3010" hidden="1" x14ac:dyDescent="0.3"/>
    <row r="3011" hidden="1" x14ac:dyDescent="0.3"/>
    <row r="3012" hidden="1" x14ac:dyDescent="0.3"/>
    <row r="3013" hidden="1" x14ac:dyDescent="0.3"/>
    <row r="3014" hidden="1" x14ac:dyDescent="0.3"/>
    <row r="3015" hidden="1" x14ac:dyDescent="0.3"/>
    <row r="3016" hidden="1" x14ac:dyDescent="0.3"/>
    <row r="3017" hidden="1" x14ac:dyDescent="0.3"/>
    <row r="3018" hidden="1" x14ac:dyDescent="0.3"/>
    <row r="3019" hidden="1" x14ac:dyDescent="0.3"/>
    <row r="3020" hidden="1" x14ac:dyDescent="0.3"/>
    <row r="3021" hidden="1" x14ac:dyDescent="0.3"/>
    <row r="3022" hidden="1" x14ac:dyDescent="0.3"/>
    <row r="3023" hidden="1" x14ac:dyDescent="0.3"/>
    <row r="3024" hidden="1" x14ac:dyDescent="0.3"/>
    <row r="3025" hidden="1" x14ac:dyDescent="0.3"/>
    <row r="3026" hidden="1" x14ac:dyDescent="0.3"/>
    <row r="3027" hidden="1" x14ac:dyDescent="0.3"/>
    <row r="3028" hidden="1" x14ac:dyDescent="0.3"/>
    <row r="3029" hidden="1" x14ac:dyDescent="0.3"/>
    <row r="3030" hidden="1" x14ac:dyDescent="0.3"/>
    <row r="3031" hidden="1" x14ac:dyDescent="0.3"/>
    <row r="3032" hidden="1" x14ac:dyDescent="0.3"/>
    <row r="3033" hidden="1" x14ac:dyDescent="0.3"/>
    <row r="3034" hidden="1" x14ac:dyDescent="0.3"/>
    <row r="3035" hidden="1" x14ac:dyDescent="0.3"/>
    <row r="3036" hidden="1" x14ac:dyDescent="0.3"/>
    <row r="3037" hidden="1" x14ac:dyDescent="0.3"/>
    <row r="3038" hidden="1" x14ac:dyDescent="0.3"/>
    <row r="3039" hidden="1" x14ac:dyDescent="0.3"/>
    <row r="3040" hidden="1" x14ac:dyDescent="0.3"/>
    <row r="3041" hidden="1" x14ac:dyDescent="0.3"/>
    <row r="3042" hidden="1" x14ac:dyDescent="0.3"/>
    <row r="3043" hidden="1" x14ac:dyDescent="0.3"/>
    <row r="3044" hidden="1" x14ac:dyDescent="0.3"/>
    <row r="3045" hidden="1" x14ac:dyDescent="0.3"/>
    <row r="3046" hidden="1" x14ac:dyDescent="0.3"/>
    <row r="3047" hidden="1" x14ac:dyDescent="0.3"/>
    <row r="3048" hidden="1" x14ac:dyDescent="0.3"/>
    <row r="3049" hidden="1" x14ac:dyDescent="0.3"/>
    <row r="3050" hidden="1" x14ac:dyDescent="0.3"/>
    <row r="3051" hidden="1" x14ac:dyDescent="0.3"/>
    <row r="3052" hidden="1" x14ac:dyDescent="0.3"/>
    <row r="3053" hidden="1" x14ac:dyDescent="0.3"/>
    <row r="3054" hidden="1" x14ac:dyDescent="0.3"/>
    <row r="3055" hidden="1" x14ac:dyDescent="0.3"/>
    <row r="3056" hidden="1" x14ac:dyDescent="0.3"/>
    <row r="3057" hidden="1" x14ac:dyDescent="0.3"/>
    <row r="3058" hidden="1" x14ac:dyDescent="0.3"/>
    <row r="3059" hidden="1" x14ac:dyDescent="0.3"/>
    <row r="3060" hidden="1" x14ac:dyDescent="0.3"/>
    <row r="3061" hidden="1" x14ac:dyDescent="0.3"/>
    <row r="3062" hidden="1" x14ac:dyDescent="0.3"/>
    <row r="3063" hidden="1" x14ac:dyDescent="0.3"/>
    <row r="3064" hidden="1" x14ac:dyDescent="0.3"/>
    <row r="3065" hidden="1" x14ac:dyDescent="0.3"/>
    <row r="3066" hidden="1" x14ac:dyDescent="0.3"/>
    <row r="3067" hidden="1" x14ac:dyDescent="0.3"/>
    <row r="3068" hidden="1" x14ac:dyDescent="0.3"/>
    <row r="3069" hidden="1" x14ac:dyDescent="0.3"/>
    <row r="3070" hidden="1" x14ac:dyDescent="0.3"/>
    <row r="3071" hidden="1" x14ac:dyDescent="0.3"/>
    <row r="3072" hidden="1" x14ac:dyDescent="0.3"/>
    <row r="3073" hidden="1" x14ac:dyDescent="0.3"/>
    <row r="3074" hidden="1" x14ac:dyDescent="0.3"/>
    <row r="3075" hidden="1" x14ac:dyDescent="0.3"/>
    <row r="3076" hidden="1" x14ac:dyDescent="0.3"/>
    <row r="3077" hidden="1" x14ac:dyDescent="0.3"/>
    <row r="3078" hidden="1" x14ac:dyDescent="0.3"/>
    <row r="3079" hidden="1" x14ac:dyDescent="0.3"/>
    <row r="3080" hidden="1" x14ac:dyDescent="0.3"/>
    <row r="3081" hidden="1" x14ac:dyDescent="0.3"/>
    <row r="3082" hidden="1" x14ac:dyDescent="0.3"/>
    <row r="3083" hidden="1" x14ac:dyDescent="0.3"/>
    <row r="3084" hidden="1" x14ac:dyDescent="0.3"/>
    <row r="3085" hidden="1" x14ac:dyDescent="0.3"/>
    <row r="3086" hidden="1" x14ac:dyDescent="0.3"/>
    <row r="3087" hidden="1" x14ac:dyDescent="0.3"/>
    <row r="3088" hidden="1" x14ac:dyDescent="0.3"/>
    <row r="3089" hidden="1" x14ac:dyDescent="0.3"/>
    <row r="3090" hidden="1" x14ac:dyDescent="0.3"/>
    <row r="3091" hidden="1" x14ac:dyDescent="0.3"/>
    <row r="3092" hidden="1" x14ac:dyDescent="0.3"/>
    <row r="3093" hidden="1" x14ac:dyDescent="0.3"/>
    <row r="3094" hidden="1" x14ac:dyDescent="0.3"/>
    <row r="3095" hidden="1" x14ac:dyDescent="0.3"/>
    <row r="3096" hidden="1" x14ac:dyDescent="0.3"/>
    <row r="3097" hidden="1" x14ac:dyDescent="0.3"/>
    <row r="3098" hidden="1" x14ac:dyDescent="0.3"/>
    <row r="3099" hidden="1" x14ac:dyDescent="0.3"/>
    <row r="3100" hidden="1" x14ac:dyDescent="0.3"/>
    <row r="3101" hidden="1" x14ac:dyDescent="0.3"/>
    <row r="3102" hidden="1" x14ac:dyDescent="0.3"/>
    <row r="3103" hidden="1" x14ac:dyDescent="0.3"/>
    <row r="3104" hidden="1" x14ac:dyDescent="0.3"/>
    <row r="3105" hidden="1" x14ac:dyDescent="0.3"/>
    <row r="3106" hidden="1" x14ac:dyDescent="0.3"/>
    <row r="3107" hidden="1" x14ac:dyDescent="0.3"/>
    <row r="3108" hidden="1" x14ac:dyDescent="0.3"/>
    <row r="3109" hidden="1" x14ac:dyDescent="0.3"/>
    <row r="3110" hidden="1" x14ac:dyDescent="0.3"/>
    <row r="3111" hidden="1" x14ac:dyDescent="0.3"/>
    <row r="3112" hidden="1" x14ac:dyDescent="0.3"/>
    <row r="3113" hidden="1" x14ac:dyDescent="0.3"/>
    <row r="3114" hidden="1" x14ac:dyDescent="0.3"/>
    <row r="3115" hidden="1" x14ac:dyDescent="0.3"/>
    <row r="3116" hidden="1" x14ac:dyDescent="0.3"/>
    <row r="3117" hidden="1" x14ac:dyDescent="0.3"/>
    <row r="3118" hidden="1" x14ac:dyDescent="0.3"/>
    <row r="3119" hidden="1" x14ac:dyDescent="0.3"/>
    <row r="3120" hidden="1" x14ac:dyDescent="0.3"/>
    <row r="3121" hidden="1" x14ac:dyDescent="0.3"/>
    <row r="3122" hidden="1" x14ac:dyDescent="0.3"/>
    <row r="3123" hidden="1" x14ac:dyDescent="0.3"/>
    <row r="3124" hidden="1" x14ac:dyDescent="0.3"/>
    <row r="3125" hidden="1" x14ac:dyDescent="0.3"/>
    <row r="3126" hidden="1" x14ac:dyDescent="0.3"/>
    <row r="3127" hidden="1" x14ac:dyDescent="0.3"/>
    <row r="3128" hidden="1" x14ac:dyDescent="0.3"/>
    <row r="3129" hidden="1" x14ac:dyDescent="0.3"/>
    <row r="3130" hidden="1" x14ac:dyDescent="0.3"/>
    <row r="3131" hidden="1" x14ac:dyDescent="0.3"/>
    <row r="3132" hidden="1" x14ac:dyDescent="0.3"/>
    <row r="3133" hidden="1" x14ac:dyDescent="0.3"/>
    <row r="3134" hidden="1" x14ac:dyDescent="0.3"/>
    <row r="3135" hidden="1" x14ac:dyDescent="0.3"/>
    <row r="3136" hidden="1" x14ac:dyDescent="0.3"/>
    <row r="3137" hidden="1" x14ac:dyDescent="0.3"/>
    <row r="3138" hidden="1" x14ac:dyDescent="0.3"/>
    <row r="3139" hidden="1" x14ac:dyDescent="0.3"/>
    <row r="3140" hidden="1" x14ac:dyDescent="0.3"/>
    <row r="3141" hidden="1" x14ac:dyDescent="0.3"/>
    <row r="3142" hidden="1" x14ac:dyDescent="0.3"/>
    <row r="3143" hidden="1" x14ac:dyDescent="0.3"/>
    <row r="3144" hidden="1" x14ac:dyDescent="0.3"/>
    <row r="3145" hidden="1" x14ac:dyDescent="0.3"/>
    <row r="3146" hidden="1" x14ac:dyDescent="0.3"/>
    <row r="3147" hidden="1" x14ac:dyDescent="0.3"/>
    <row r="3148" hidden="1" x14ac:dyDescent="0.3"/>
    <row r="3149" hidden="1" x14ac:dyDescent="0.3"/>
    <row r="3150" hidden="1" x14ac:dyDescent="0.3"/>
    <row r="3151" hidden="1" x14ac:dyDescent="0.3"/>
    <row r="3152" hidden="1" x14ac:dyDescent="0.3"/>
    <row r="3153" hidden="1" x14ac:dyDescent="0.3"/>
    <row r="3154" hidden="1" x14ac:dyDescent="0.3"/>
    <row r="3155" hidden="1" x14ac:dyDescent="0.3"/>
    <row r="3156" hidden="1" x14ac:dyDescent="0.3"/>
    <row r="3157" hidden="1" x14ac:dyDescent="0.3"/>
    <row r="3158" hidden="1" x14ac:dyDescent="0.3"/>
    <row r="3159" hidden="1" x14ac:dyDescent="0.3"/>
    <row r="3160" hidden="1" x14ac:dyDescent="0.3"/>
    <row r="3161" hidden="1" x14ac:dyDescent="0.3"/>
    <row r="3162" hidden="1" x14ac:dyDescent="0.3"/>
    <row r="3163" hidden="1" x14ac:dyDescent="0.3"/>
    <row r="3164" hidden="1" x14ac:dyDescent="0.3"/>
    <row r="3165" hidden="1" x14ac:dyDescent="0.3"/>
    <row r="3166" hidden="1" x14ac:dyDescent="0.3"/>
    <row r="3167" hidden="1" x14ac:dyDescent="0.3"/>
    <row r="3168" hidden="1" x14ac:dyDescent="0.3"/>
    <row r="3169" hidden="1" x14ac:dyDescent="0.3"/>
    <row r="3170" hidden="1" x14ac:dyDescent="0.3"/>
    <row r="3171" hidden="1" x14ac:dyDescent="0.3"/>
    <row r="3172" hidden="1" x14ac:dyDescent="0.3"/>
    <row r="3173" hidden="1" x14ac:dyDescent="0.3"/>
    <row r="3174" hidden="1" x14ac:dyDescent="0.3"/>
    <row r="3175" hidden="1" x14ac:dyDescent="0.3"/>
    <row r="3176" hidden="1" x14ac:dyDescent="0.3"/>
    <row r="3177" hidden="1" x14ac:dyDescent="0.3"/>
    <row r="3178" hidden="1" x14ac:dyDescent="0.3"/>
    <row r="3179" hidden="1" x14ac:dyDescent="0.3"/>
    <row r="3180" hidden="1" x14ac:dyDescent="0.3"/>
    <row r="3181" hidden="1" x14ac:dyDescent="0.3"/>
    <row r="3182" hidden="1" x14ac:dyDescent="0.3"/>
    <row r="3183" hidden="1" x14ac:dyDescent="0.3"/>
    <row r="3184" hidden="1" x14ac:dyDescent="0.3"/>
    <row r="3185" hidden="1" x14ac:dyDescent="0.3"/>
    <row r="3186" hidden="1" x14ac:dyDescent="0.3"/>
    <row r="3187" hidden="1" x14ac:dyDescent="0.3"/>
    <row r="3188" hidden="1" x14ac:dyDescent="0.3"/>
    <row r="3189" hidden="1" x14ac:dyDescent="0.3"/>
    <row r="3190" hidden="1" x14ac:dyDescent="0.3"/>
    <row r="3191" hidden="1" x14ac:dyDescent="0.3"/>
    <row r="3192" hidden="1" x14ac:dyDescent="0.3"/>
    <row r="3193" hidden="1" x14ac:dyDescent="0.3"/>
    <row r="3194" hidden="1" x14ac:dyDescent="0.3"/>
    <row r="3195" hidden="1" x14ac:dyDescent="0.3"/>
    <row r="3196" hidden="1" x14ac:dyDescent="0.3"/>
    <row r="3197" hidden="1" x14ac:dyDescent="0.3"/>
    <row r="3198" hidden="1" x14ac:dyDescent="0.3"/>
    <row r="3199" hidden="1" x14ac:dyDescent="0.3"/>
    <row r="3200" hidden="1" x14ac:dyDescent="0.3"/>
    <row r="3201" hidden="1" x14ac:dyDescent="0.3"/>
    <row r="3202" hidden="1" x14ac:dyDescent="0.3"/>
    <row r="3203" hidden="1" x14ac:dyDescent="0.3"/>
    <row r="3204" hidden="1" x14ac:dyDescent="0.3"/>
    <row r="3205" hidden="1" x14ac:dyDescent="0.3"/>
    <row r="3206" hidden="1" x14ac:dyDescent="0.3"/>
    <row r="3207" hidden="1" x14ac:dyDescent="0.3"/>
    <row r="3208" hidden="1" x14ac:dyDescent="0.3"/>
    <row r="3209" hidden="1" x14ac:dyDescent="0.3"/>
    <row r="3210" hidden="1" x14ac:dyDescent="0.3"/>
    <row r="3211" hidden="1" x14ac:dyDescent="0.3"/>
    <row r="3212" hidden="1" x14ac:dyDescent="0.3"/>
    <row r="3213" hidden="1" x14ac:dyDescent="0.3"/>
    <row r="3214" hidden="1" x14ac:dyDescent="0.3"/>
    <row r="3215" hidden="1" x14ac:dyDescent="0.3"/>
    <row r="3216" hidden="1" x14ac:dyDescent="0.3"/>
    <row r="3217" hidden="1" x14ac:dyDescent="0.3"/>
    <row r="3218" hidden="1" x14ac:dyDescent="0.3"/>
    <row r="3219" hidden="1" x14ac:dyDescent="0.3"/>
    <row r="3220" hidden="1" x14ac:dyDescent="0.3"/>
    <row r="3221" hidden="1" x14ac:dyDescent="0.3"/>
    <row r="3222" hidden="1" x14ac:dyDescent="0.3"/>
    <row r="3223" hidden="1" x14ac:dyDescent="0.3"/>
    <row r="3224" hidden="1" x14ac:dyDescent="0.3"/>
    <row r="3225" hidden="1" x14ac:dyDescent="0.3"/>
    <row r="3226" hidden="1" x14ac:dyDescent="0.3"/>
    <row r="3227" hidden="1" x14ac:dyDescent="0.3"/>
    <row r="3228" hidden="1" x14ac:dyDescent="0.3"/>
    <row r="3229" hidden="1" x14ac:dyDescent="0.3"/>
    <row r="3230" hidden="1" x14ac:dyDescent="0.3"/>
    <row r="3231" hidden="1" x14ac:dyDescent="0.3"/>
    <row r="3232" hidden="1" x14ac:dyDescent="0.3"/>
    <row r="3233" hidden="1" x14ac:dyDescent="0.3"/>
    <row r="3234" hidden="1" x14ac:dyDescent="0.3"/>
    <row r="3235" hidden="1" x14ac:dyDescent="0.3"/>
    <row r="3236" hidden="1" x14ac:dyDescent="0.3"/>
    <row r="3237" hidden="1" x14ac:dyDescent="0.3"/>
    <row r="3238" hidden="1" x14ac:dyDescent="0.3"/>
    <row r="3239" hidden="1" x14ac:dyDescent="0.3"/>
    <row r="3240" hidden="1" x14ac:dyDescent="0.3"/>
    <row r="3241" hidden="1" x14ac:dyDescent="0.3"/>
    <row r="3242" hidden="1" x14ac:dyDescent="0.3"/>
    <row r="3243" hidden="1" x14ac:dyDescent="0.3"/>
    <row r="3244" hidden="1" x14ac:dyDescent="0.3"/>
    <row r="3245" hidden="1" x14ac:dyDescent="0.3"/>
    <row r="3246" hidden="1" x14ac:dyDescent="0.3"/>
    <row r="3247" hidden="1" x14ac:dyDescent="0.3"/>
    <row r="3248" hidden="1" x14ac:dyDescent="0.3"/>
    <row r="3249" hidden="1" x14ac:dyDescent="0.3"/>
    <row r="3250" hidden="1" x14ac:dyDescent="0.3"/>
    <row r="3251" hidden="1" x14ac:dyDescent="0.3"/>
    <row r="3252" hidden="1" x14ac:dyDescent="0.3"/>
    <row r="3253" hidden="1" x14ac:dyDescent="0.3"/>
    <row r="3254" hidden="1" x14ac:dyDescent="0.3"/>
    <row r="3255" hidden="1" x14ac:dyDescent="0.3"/>
    <row r="3256" hidden="1" x14ac:dyDescent="0.3"/>
    <row r="3257" hidden="1" x14ac:dyDescent="0.3"/>
    <row r="3258" hidden="1" x14ac:dyDescent="0.3"/>
    <row r="3259" hidden="1" x14ac:dyDescent="0.3"/>
    <row r="3260" hidden="1" x14ac:dyDescent="0.3"/>
    <row r="3261" hidden="1" x14ac:dyDescent="0.3"/>
    <row r="3262" hidden="1" x14ac:dyDescent="0.3"/>
    <row r="3263" hidden="1" x14ac:dyDescent="0.3"/>
    <row r="3264" hidden="1" x14ac:dyDescent="0.3"/>
    <row r="3265" hidden="1" x14ac:dyDescent="0.3"/>
    <row r="3266" hidden="1" x14ac:dyDescent="0.3"/>
    <row r="3267" hidden="1" x14ac:dyDescent="0.3"/>
    <row r="3268" hidden="1" x14ac:dyDescent="0.3"/>
    <row r="3269" hidden="1" x14ac:dyDescent="0.3"/>
    <row r="3270" hidden="1" x14ac:dyDescent="0.3"/>
    <row r="3271" hidden="1" x14ac:dyDescent="0.3"/>
    <row r="3272" hidden="1" x14ac:dyDescent="0.3"/>
    <row r="3273" hidden="1" x14ac:dyDescent="0.3"/>
    <row r="3274" hidden="1" x14ac:dyDescent="0.3"/>
    <row r="3275" hidden="1" x14ac:dyDescent="0.3"/>
    <row r="3276" hidden="1" x14ac:dyDescent="0.3"/>
    <row r="3277" hidden="1" x14ac:dyDescent="0.3"/>
    <row r="3278" hidden="1" x14ac:dyDescent="0.3"/>
    <row r="3279" hidden="1" x14ac:dyDescent="0.3"/>
    <row r="3280" hidden="1" x14ac:dyDescent="0.3"/>
    <row r="3281" hidden="1" x14ac:dyDescent="0.3"/>
    <row r="3282" hidden="1" x14ac:dyDescent="0.3"/>
    <row r="3283" hidden="1" x14ac:dyDescent="0.3"/>
    <row r="3284" hidden="1" x14ac:dyDescent="0.3"/>
    <row r="3285" hidden="1" x14ac:dyDescent="0.3"/>
    <row r="3286" hidden="1" x14ac:dyDescent="0.3"/>
    <row r="3287" hidden="1" x14ac:dyDescent="0.3"/>
    <row r="3288" hidden="1" x14ac:dyDescent="0.3"/>
    <row r="3289" hidden="1" x14ac:dyDescent="0.3"/>
    <row r="3290" hidden="1" x14ac:dyDescent="0.3"/>
    <row r="3291" hidden="1" x14ac:dyDescent="0.3"/>
    <row r="3292" hidden="1" x14ac:dyDescent="0.3"/>
    <row r="3293" hidden="1" x14ac:dyDescent="0.3"/>
    <row r="3294" hidden="1" x14ac:dyDescent="0.3"/>
    <row r="3295" hidden="1" x14ac:dyDescent="0.3"/>
    <row r="3296" hidden="1" x14ac:dyDescent="0.3"/>
    <row r="3297" hidden="1" x14ac:dyDescent="0.3"/>
    <row r="3298" hidden="1" x14ac:dyDescent="0.3"/>
    <row r="3299" hidden="1" x14ac:dyDescent="0.3"/>
    <row r="3300" hidden="1" x14ac:dyDescent="0.3"/>
    <row r="3301" hidden="1" x14ac:dyDescent="0.3"/>
    <row r="3302" hidden="1" x14ac:dyDescent="0.3"/>
    <row r="3303" hidden="1" x14ac:dyDescent="0.3"/>
    <row r="3304" hidden="1" x14ac:dyDescent="0.3"/>
    <row r="3305" hidden="1" x14ac:dyDescent="0.3"/>
    <row r="3306" hidden="1" x14ac:dyDescent="0.3"/>
    <row r="3307" hidden="1" x14ac:dyDescent="0.3"/>
    <row r="3308" hidden="1" x14ac:dyDescent="0.3"/>
    <row r="3309" hidden="1" x14ac:dyDescent="0.3"/>
    <row r="3310" hidden="1" x14ac:dyDescent="0.3"/>
    <row r="3311" hidden="1" x14ac:dyDescent="0.3"/>
    <row r="3312" hidden="1" x14ac:dyDescent="0.3"/>
    <row r="3313" hidden="1" x14ac:dyDescent="0.3"/>
    <row r="3314" hidden="1" x14ac:dyDescent="0.3"/>
    <row r="3315" hidden="1" x14ac:dyDescent="0.3"/>
    <row r="3316" hidden="1" x14ac:dyDescent="0.3"/>
    <row r="3317" hidden="1" x14ac:dyDescent="0.3"/>
    <row r="3318" hidden="1" x14ac:dyDescent="0.3"/>
    <row r="3319" hidden="1" x14ac:dyDescent="0.3"/>
    <row r="3320" hidden="1" x14ac:dyDescent="0.3"/>
    <row r="3321" hidden="1" x14ac:dyDescent="0.3"/>
    <row r="3322" hidden="1" x14ac:dyDescent="0.3"/>
    <row r="3323" hidden="1" x14ac:dyDescent="0.3"/>
    <row r="3324" hidden="1" x14ac:dyDescent="0.3"/>
    <row r="3325" hidden="1" x14ac:dyDescent="0.3"/>
    <row r="3326" hidden="1" x14ac:dyDescent="0.3"/>
    <row r="3327" hidden="1" x14ac:dyDescent="0.3"/>
    <row r="3328" hidden="1" x14ac:dyDescent="0.3"/>
    <row r="3329" hidden="1" x14ac:dyDescent="0.3"/>
    <row r="3330" hidden="1" x14ac:dyDescent="0.3"/>
    <row r="3331" hidden="1" x14ac:dyDescent="0.3"/>
    <row r="3332" hidden="1" x14ac:dyDescent="0.3"/>
    <row r="3333" hidden="1" x14ac:dyDescent="0.3"/>
    <row r="3334" hidden="1" x14ac:dyDescent="0.3"/>
    <row r="3335" hidden="1" x14ac:dyDescent="0.3"/>
    <row r="3336" hidden="1" x14ac:dyDescent="0.3"/>
    <row r="3337" hidden="1" x14ac:dyDescent="0.3"/>
    <row r="3338" hidden="1" x14ac:dyDescent="0.3"/>
    <row r="3339" hidden="1" x14ac:dyDescent="0.3"/>
    <row r="3340" hidden="1" x14ac:dyDescent="0.3"/>
    <row r="3341" hidden="1" x14ac:dyDescent="0.3"/>
    <row r="3342" hidden="1" x14ac:dyDescent="0.3"/>
    <row r="3343" hidden="1" x14ac:dyDescent="0.3"/>
    <row r="3344" hidden="1" x14ac:dyDescent="0.3"/>
    <row r="3345" hidden="1" x14ac:dyDescent="0.3"/>
    <row r="3346" hidden="1" x14ac:dyDescent="0.3"/>
    <row r="3347" hidden="1" x14ac:dyDescent="0.3"/>
    <row r="3348" hidden="1" x14ac:dyDescent="0.3"/>
    <row r="3349" hidden="1" x14ac:dyDescent="0.3"/>
    <row r="3350" hidden="1" x14ac:dyDescent="0.3"/>
    <row r="3351" hidden="1" x14ac:dyDescent="0.3"/>
    <row r="3352" hidden="1" x14ac:dyDescent="0.3"/>
    <row r="3353" hidden="1" x14ac:dyDescent="0.3"/>
    <row r="3354" hidden="1" x14ac:dyDescent="0.3"/>
    <row r="3355" hidden="1" x14ac:dyDescent="0.3"/>
    <row r="3356" hidden="1" x14ac:dyDescent="0.3"/>
    <row r="3357" hidden="1" x14ac:dyDescent="0.3"/>
    <row r="3358" hidden="1" x14ac:dyDescent="0.3"/>
    <row r="3359" hidden="1" x14ac:dyDescent="0.3"/>
    <row r="3360" hidden="1" x14ac:dyDescent="0.3"/>
    <row r="3361" hidden="1" x14ac:dyDescent="0.3"/>
    <row r="3362" hidden="1" x14ac:dyDescent="0.3"/>
    <row r="3363" hidden="1" x14ac:dyDescent="0.3"/>
    <row r="3364" hidden="1" x14ac:dyDescent="0.3"/>
    <row r="3365" hidden="1" x14ac:dyDescent="0.3"/>
    <row r="3366" hidden="1" x14ac:dyDescent="0.3"/>
    <row r="3367" hidden="1" x14ac:dyDescent="0.3"/>
    <row r="3368" hidden="1" x14ac:dyDescent="0.3"/>
    <row r="3369" hidden="1" x14ac:dyDescent="0.3"/>
    <row r="3370" hidden="1" x14ac:dyDescent="0.3"/>
    <row r="3371" hidden="1" x14ac:dyDescent="0.3"/>
    <row r="3372" hidden="1" x14ac:dyDescent="0.3"/>
    <row r="3373" hidden="1" x14ac:dyDescent="0.3"/>
    <row r="3374" hidden="1" x14ac:dyDescent="0.3"/>
    <row r="3375" hidden="1" x14ac:dyDescent="0.3"/>
    <row r="3376" hidden="1" x14ac:dyDescent="0.3"/>
    <row r="3377" hidden="1" x14ac:dyDescent="0.3"/>
    <row r="3378" hidden="1" x14ac:dyDescent="0.3"/>
    <row r="3379" hidden="1" x14ac:dyDescent="0.3"/>
    <row r="3380" hidden="1" x14ac:dyDescent="0.3"/>
    <row r="3381" hidden="1" x14ac:dyDescent="0.3"/>
    <row r="3382" hidden="1" x14ac:dyDescent="0.3"/>
    <row r="3383" hidden="1" x14ac:dyDescent="0.3"/>
    <row r="3384" hidden="1" x14ac:dyDescent="0.3"/>
    <row r="3385" hidden="1" x14ac:dyDescent="0.3"/>
    <row r="3386" hidden="1" x14ac:dyDescent="0.3"/>
    <row r="3387" hidden="1" x14ac:dyDescent="0.3"/>
    <row r="3388" hidden="1" x14ac:dyDescent="0.3"/>
    <row r="3389" hidden="1" x14ac:dyDescent="0.3"/>
    <row r="3390" hidden="1" x14ac:dyDescent="0.3"/>
    <row r="3391" hidden="1" x14ac:dyDescent="0.3"/>
    <row r="3392" hidden="1" x14ac:dyDescent="0.3"/>
    <row r="3393" hidden="1" x14ac:dyDescent="0.3"/>
    <row r="3394" hidden="1" x14ac:dyDescent="0.3"/>
    <row r="3395" hidden="1" x14ac:dyDescent="0.3"/>
    <row r="3396" hidden="1" x14ac:dyDescent="0.3"/>
    <row r="3397" hidden="1" x14ac:dyDescent="0.3"/>
    <row r="3398" hidden="1" x14ac:dyDescent="0.3"/>
    <row r="3399" hidden="1" x14ac:dyDescent="0.3"/>
    <row r="3400" hidden="1" x14ac:dyDescent="0.3"/>
    <row r="3401" hidden="1" x14ac:dyDescent="0.3"/>
    <row r="3402" hidden="1" x14ac:dyDescent="0.3"/>
    <row r="3403" hidden="1" x14ac:dyDescent="0.3"/>
    <row r="3404" hidden="1" x14ac:dyDescent="0.3"/>
    <row r="3405" hidden="1" x14ac:dyDescent="0.3"/>
    <row r="3406" hidden="1" x14ac:dyDescent="0.3"/>
    <row r="3407" hidden="1" x14ac:dyDescent="0.3"/>
    <row r="3408" hidden="1" x14ac:dyDescent="0.3"/>
    <row r="3409" hidden="1" x14ac:dyDescent="0.3"/>
    <row r="3410" hidden="1" x14ac:dyDescent="0.3"/>
    <row r="3411" hidden="1" x14ac:dyDescent="0.3"/>
    <row r="3412" hidden="1" x14ac:dyDescent="0.3"/>
    <row r="3413" hidden="1" x14ac:dyDescent="0.3"/>
    <row r="3414" hidden="1" x14ac:dyDescent="0.3"/>
    <row r="3415" hidden="1" x14ac:dyDescent="0.3"/>
    <row r="3416" hidden="1" x14ac:dyDescent="0.3"/>
    <row r="3417" hidden="1" x14ac:dyDescent="0.3"/>
    <row r="3418" hidden="1" x14ac:dyDescent="0.3"/>
    <row r="3419" hidden="1" x14ac:dyDescent="0.3"/>
    <row r="3420" hidden="1" x14ac:dyDescent="0.3"/>
    <row r="3421" hidden="1" x14ac:dyDescent="0.3"/>
    <row r="3422" hidden="1" x14ac:dyDescent="0.3"/>
    <row r="3423" hidden="1" x14ac:dyDescent="0.3"/>
    <row r="3424" hidden="1" x14ac:dyDescent="0.3"/>
    <row r="3425" hidden="1" x14ac:dyDescent="0.3"/>
    <row r="3426" hidden="1" x14ac:dyDescent="0.3"/>
    <row r="3427" hidden="1" x14ac:dyDescent="0.3"/>
    <row r="3428" hidden="1" x14ac:dyDescent="0.3"/>
    <row r="3429" hidden="1" x14ac:dyDescent="0.3"/>
    <row r="3430" hidden="1" x14ac:dyDescent="0.3"/>
    <row r="3431" hidden="1" x14ac:dyDescent="0.3"/>
    <row r="3432" hidden="1" x14ac:dyDescent="0.3"/>
    <row r="3433" hidden="1" x14ac:dyDescent="0.3"/>
    <row r="3434" hidden="1" x14ac:dyDescent="0.3"/>
    <row r="3435" hidden="1" x14ac:dyDescent="0.3"/>
    <row r="3436" hidden="1" x14ac:dyDescent="0.3"/>
    <row r="3437" hidden="1" x14ac:dyDescent="0.3"/>
    <row r="3438" hidden="1" x14ac:dyDescent="0.3"/>
    <row r="3439" hidden="1" x14ac:dyDescent="0.3"/>
    <row r="3440" hidden="1" x14ac:dyDescent="0.3"/>
    <row r="3441" hidden="1" x14ac:dyDescent="0.3"/>
    <row r="3442" hidden="1" x14ac:dyDescent="0.3"/>
    <row r="3443" hidden="1" x14ac:dyDescent="0.3"/>
    <row r="3444" hidden="1" x14ac:dyDescent="0.3"/>
    <row r="3445" hidden="1" x14ac:dyDescent="0.3"/>
    <row r="3446" hidden="1" x14ac:dyDescent="0.3"/>
    <row r="3447" hidden="1" x14ac:dyDescent="0.3"/>
    <row r="3448" hidden="1" x14ac:dyDescent="0.3"/>
    <row r="3449" hidden="1" x14ac:dyDescent="0.3"/>
    <row r="3450" hidden="1" x14ac:dyDescent="0.3"/>
    <row r="3451" hidden="1" x14ac:dyDescent="0.3"/>
    <row r="3452" hidden="1" x14ac:dyDescent="0.3"/>
    <row r="3453" hidden="1" x14ac:dyDescent="0.3"/>
    <row r="3454" hidden="1" x14ac:dyDescent="0.3"/>
    <row r="3455" hidden="1" x14ac:dyDescent="0.3"/>
    <row r="3456" hidden="1" x14ac:dyDescent="0.3"/>
    <row r="3457" hidden="1" x14ac:dyDescent="0.3"/>
    <row r="3458" hidden="1" x14ac:dyDescent="0.3"/>
    <row r="3459" hidden="1" x14ac:dyDescent="0.3"/>
    <row r="3460" hidden="1" x14ac:dyDescent="0.3"/>
    <row r="3461" hidden="1" x14ac:dyDescent="0.3"/>
    <row r="3462" hidden="1" x14ac:dyDescent="0.3"/>
    <row r="3463" hidden="1" x14ac:dyDescent="0.3"/>
    <row r="3464" hidden="1" x14ac:dyDescent="0.3"/>
    <row r="3465" hidden="1" x14ac:dyDescent="0.3"/>
    <row r="3466" hidden="1" x14ac:dyDescent="0.3"/>
    <row r="3467" hidden="1" x14ac:dyDescent="0.3"/>
    <row r="3468" hidden="1" x14ac:dyDescent="0.3"/>
    <row r="3469" hidden="1" x14ac:dyDescent="0.3"/>
    <row r="3470" hidden="1" x14ac:dyDescent="0.3"/>
    <row r="3471" hidden="1" x14ac:dyDescent="0.3"/>
    <row r="3472" hidden="1" x14ac:dyDescent="0.3"/>
    <row r="3473" hidden="1" x14ac:dyDescent="0.3"/>
    <row r="3474" hidden="1" x14ac:dyDescent="0.3"/>
    <row r="3475" hidden="1" x14ac:dyDescent="0.3"/>
    <row r="3476" hidden="1" x14ac:dyDescent="0.3"/>
    <row r="3477" hidden="1" x14ac:dyDescent="0.3"/>
    <row r="3478" hidden="1" x14ac:dyDescent="0.3"/>
    <row r="3479" hidden="1" x14ac:dyDescent="0.3"/>
    <row r="3480" hidden="1" x14ac:dyDescent="0.3"/>
    <row r="3481" hidden="1" x14ac:dyDescent="0.3"/>
    <row r="3482" hidden="1" x14ac:dyDescent="0.3"/>
    <row r="3483" hidden="1" x14ac:dyDescent="0.3"/>
    <row r="3484" hidden="1" x14ac:dyDescent="0.3"/>
    <row r="3485" hidden="1" x14ac:dyDescent="0.3"/>
    <row r="3486" hidden="1" x14ac:dyDescent="0.3"/>
    <row r="3487" hidden="1" x14ac:dyDescent="0.3"/>
    <row r="3488" hidden="1" x14ac:dyDescent="0.3"/>
    <row r="3489" hidden="1" x14ac:dyDescent="0.3"/>
    <row r="3490" hidden="1" x14ac:dyDescent="0.3"/>
    <row r="3491" hidden="1" x14ac:dyDescent="0.3"/>
    <row r="3492" hidden="1" x14ac:dyDescent="0.3"/>
    <row r="3493" hidden="1" x14ac:dyDescent="0.3"/>
    <row r="3494" hidden="1" x14ac:dyDescent="0.3"/>
    <row r="3495" hidden="1" x14ac:dyDescent="0.3"/>
    <row r="3496" hidden="1" x14ac:dyDescent="0.3"/>
    <row r="3497" hidden="1" x14ac:dyDescent="0.3"/>
    <row r="3498" hidden="1" x14ac:dyDescent="0.3"/>
    <row r="3499" hidden="1" x14ac:dyDescent="0.3"/>
    <row r="3500" hidden="1" x14ac:dyDescent="0.3"/>
    <row r="3501" hidden="1" x14ac:dyDescent="0.3"/>
    <row r="3502" hidden="1" x14ac:dyDescent="0.3"/>
    <row r="3503" hidden="1" x14ac:dyDescent="0.3"/>
    <row r="3504" hidden="1" x14ac:dyDescent="0.3"/>
    <row r="3505" hidden="1" x14ac:dyDescent="0.3"/>
    <row r="3506" hidden="1" x14ac:dyDescent="0.3"/>
    <row r="3507" hidden="1" x14ac:dyDescent="0.3"/>
    <row r="3508" hidden="1" x14ac:dyDescent="0.3"/>
    <row r="3509" hidden="1" x14ac:dyDescent="0.3"/>
    <row r="3510" hidden="1" x14ac:dyDescent="0.3"/>
    <row r="3511" hidden="1" x14ac:dyDescent="0.3"/>
    <row r="3512" hidden="1" x14ac:dyDescent="0.3"/>
    <row r="3513" hidden="1" x14ac:dyDescent="0.3"/>
    <row r="3514" hidden="1" x14ac:dyDescent="0.3"/>
    <row r="3515" hidden="1" x14ac:dyDescent="0.3"/>
    <row r="3516" hidden="1" x14ac:dyDescent="0.3"/>
    <row r="3517" hidden="1" x14ac:dyDescent="0.3"/>
    <row r="3518" hidden="1" x14ac:dyDescent="0.3"/>
    <row r="3519" hidden="1" x14ac:dyDescent="0.3"/>
    <row r="3520" hidden="1" x14ac:dyDescent="0.3"/>
    <row r="3521" hidden="1" x14ac:dyDescent="0.3"/>
    <row r="3522" hidden="1" x14ac:dyDescent="0.3"/>
    <row r="3523" hidden="1" x14ac:dyDescent="0.3"/>
    <row r="3524" hidden="1" x14ac:dyDescent="0.3"/>
    <row r="3525" hidden="1" x14ac:dyDescent="0.3"/>
    <row r="3526" hidden="1" x14ac:dyDescent="0.3"/>
    <row r="3527" hidden="1" x14ac:dyDescent="0.3"/>
    <row r="3528" hidden="1" x14ac:dyDescent="0.3"/>
    <row r="3529" hidden="1" x14ac:dyDescent="0.3"/>
    <row r="3530" hidden="1" x14ac:dyDescent="0.3"/>
    <row r="3531" hidden="1" x14ac:dyDescent="0.3"/>
    <row r="3532" hidden="1" x14ac:dyDescent="0.3"/>
    <row r="3533" hidden="1" x14ac:dyDescent="0.3"/>
    <row r="3534" hidden="1" x14ac:dyDescent="0.3"/>
    <row r="3535" hidden="1" x14ac:dyDescent="0.3"/>
    <row r="3536" hidden="1" x14ac:dyDescent="0.3"/>
    <row r="3537" hidden="1" x14ac:dyDescent="0.3"/>
    <row r="3538" hidden="1" x14ac:dyDescent="0.3"/>
    <row r="3539" hidden="1" x14ac:dyDescent="0.3"/>
    <row r="3540" hidden="1" x14ac:dyDescent="0.3"/>
    <row r="3541" hidden="1" x14ac:dyDescent="0.3"/>
    <row r="3542" hidden="1" x14ac:dyDescent="0.3"/>
    <row r="3543" hidden="1" x14ac:dyDescent="0.3"/>
    <row r="3544" hidden="1" x14ac:dyDescent="0.3"/>
    <row r="3545" hidden="1" x14ac:dyDescent="0.3"/>
    <row r="3546" hidden="1" x14ac:dyDescent="0.3"/>
    <row r="3547" hidden="1" x14ac:dyDescent="0.3"/>
    <row r="3548" hidden="1" x14ac:dyDescent="0.3"/>
    <row r="3549" hidden="1" x14ac:dyDescent="0.3"/>
    <row r="3550" hidden="1" x14ac:dyDescent="0.3"/>
    <row r="3551" hidden="1" x14ac:dyDescent="0.3"/>
    <row r="3552" hidden="1" x14ac:dyDescent="0.3"/>
    <row r="3553" hidden="1" x14ac:dyDescent="0.3"/>
    <row r="3554" hidden="1" x14ac:dyDescent="0.3"/>
    <row r="3555" hidden="1" x14ac:dyDescent="0.3"/>
    <row r="3556" hidden="1" x14ac:dyDescent="0.3"/>
    <row r="3557" hidden="1" x14ac:dyDescent="0.3"/>
    <row r="3558" hidden="1" x14ac:dyDescent="0.3"/>
    <row r="3559" hidden="1" x14ac:dyDescent="0.3"/>
    <row r="3560" hidden="1" x14ac:dyDescent="0.3"/>
    <row r="3561" hidden="1" x14ac:dyDescent="0.3"/>
    <row r="3562" hidden="1" x14ac:dyDescent="0.3"/>
    <row r="3563" hidden="1" x14ac:dyDescent="0.3"/>
    <row r="3564" hidden="1" x14ac:dyDescent="0.3"/>
    <row r="3565" hidden="1" x14ac:dyDescent="0.3"/>
    <row r="3566" hidden="1" x14ac:dyDescent="0.3"/>
    <row r="3567" hidden="1" x14ac:dyDescent="0.3"/>
    <row r="3568" hidden="1" x14ac:dyDescent="0.3"/>
    <row r="3569" hidden="1" x14ac:dyDescent="0.3"/>
    <row r="3570" hidden="1" x14ac:dyDescent="0.3"/>
    <row r="3571" hidden="1" x14ac:dyDescent="0.3"/>
    <row r="3572" hidden="1" x14ac:dyDescent="0.3"/>
    <row r="3573" hidden="1" x14ac:dyDescent="0.3"/>
    <row r="3574" hidden="1" x14ac:dyDescent="0.3"/>
    <row r="3575" hidden="1" x14ac:dyDescent="0.3"/>
    <row r="3576" hidden="1" x14ac:dyDescent="0.3"/>
    <row r="3577" hidden="1" x14ac:dyDescent="0.3"/>
    <row r="3578" hidden="1" x14ac:dyDescent="0.3"/>
    <row r="3579" hidden="1" x14ac:dyDescent="0.3"/>
    <row r="3580" hidden="1" x14ac:dyDescent="0.3"/>
    <row r="3581" hidden="1" x14ac:dyDescent="0.3"/>
    <row r="3582" hidden="1" x14ac:dyDescent="0.3"/>
    <row r="3583" hidden="1" x14ac:dyDescent="0.3"/>
    <row r="3584" hidden="1" x14ac:dyDescent="0.3"/>
    <row r="3585" hidden="1" x14ac:dyDescent="0.3"/>
    <row r="3586" hidden="1" x14ac:dyDescent="0.3"/>
    <row r="3587" hidden="1" x14ac:dyDescent="0.3"/>
    <row r="3588" hidden="1" x14ac:dyDescent="0.3"/>
    <row r="3589" hidden="1" x14ac:dyDescent="0.3"/>
    <row r="3590" hidden="1" x14ac:dyDescent="0.3"/>
    <row r="3591" hidden="1" x14ac:dyDescent="0.3"/>
    <row r="3592" hidden="1" x14ac:dyDescent="0.3"/>
    <row r="3593" hidden="1" x14ac:dyDescent="0.3"/>
    <row r="3594" hidden="1" x14ac:dyDescent="0.3"/>
    <row r="3595" hidden="1" x14ac:dyDescent="0.3"/>
    <row r="3596" hidden="1" x14ac:dyDescent="0.3"/>
    <row r="3597" hidden="1" x14ac:dyDescent="0.3"/>
    <row r="3598" hidden="1" x14ac:dyDescent="0.3"/>
    <row r="3599" hidden="1" x14ac:dyDescent="0.3"/>
    <row r="3600" hidden="1" x14ac:dyDescent="0.3"/>
    <row r="3601" hidden="1" x14ac:dyDescent="0.3"/>
    <row r="3602" hidden="1" x14ac:dyDescent="0.3"/>
    <row r="3603" hidden="1" x14ac:dyDescent="0.3"/>
    <row r="3604" hidden="1" x14ac:dyDescent="0.3"/>
    <row r="3605" hidden="1" x14ac:dyDescent="0.3"/>
    <row r="3606" hidden="1" x14ac:dyDescent="0.3"/>
    <row r="3607" hidden="1" x14ac:dyDescent="0.3"/>
    <row r="3608" hidden="1" x14ac:dyDescent="0.3"/>
    <row r="3609" hidden="1" x14ac:dyDescent="0.3"/>
    <row r="3610" hidden="1" x14ac:dyDescent="0.3"/>
    <row r="3611" hidden="1" x14ac:dyDescent="0.3"/>
    <row r="3612" hidden="1" x14ac:dyDescent="0.3"/>
    <row r="3613" hidden="1" x14ac:dyDescent="0.3"/>
    <row r="3614" hidden="1" x14ac:dyDescent="0.3"/>
    <row r="3615" hidden="1" x14ac:dyDescent="0.3"/>
    <row r="3616" hidden="1" x14ac:dyDescent="0.3"/>
    <row r="3617" hidden="1" x14ac:dyDescent="0.3"/>
    <row r="3618" hidden="1" x14ac:dyDescent="0.3"/>
    <row r="3619" hidden="1" x14ac:dyDescent="0.3"/>
    <row r="3620" hidden="1" x14ac:dyDescent="0.3"/>
    <row r="3621" hidden="1" x14ac:dyDescent="0.3"/>
    <row r="3622" hidden="1" x14ac:dyDescent="0.3"/>
    <row r="3623" hidden="1" x14ac:dyDescent="0.3"/>
    <row r="3624" hidden="1" x14ac:dyDescent="0.3"/>
    <row r="3625" hidden="1" x14ac:dyDescent="0.3"/>
    <row r="3626" hidden="1" x14ac:dyDescent="0.3"/>
    <row r="3627" hidden="1" x14ac:dyDescent="0.3"/>
    <row r="3628" hidden="1" x14ac:dyDescent="0.3"/>
    <row r="3629" hidden="1" x14ac:dyDescent="0.3"/>
    <row r="3630" hidden="1" x14ac:dyDescent="0.3"/>
    <row r="3631" hidden="1" x14ac:dyDescent="0.3"/>
    <row r="3632" hidden="1" x14ac:dyDescent="0.3"/>
    <row r="3633" hidden="1" x14ac:dyDescent="0.3"/>
    <row r="3634" hidden="1" x14ac:dyDescent="0.3"/>
    <row r="3635" hidden="1" x14ac:dyDescent="0.3"/>
    <row r="3636" hidden="1" x14ac:dyDescent="0.3"/>
    <row r="3637" hidden="1" x14ac:dyDescent="0.3"/>
    <row r="3638" hidden="1" x14ac:dyDescent="0.3"/>
    <row r="3639" hidden="1" x14ac:dyDescent="0.3"/>
    <row r="3640" hidden="1" x14ac:dyDescent="0.3"/>
    <row r="3641" hidden="1" x14ac:dyDescent="0.3"/>
    <row r="3642" hidden="1" x14ac:dyDescent="0.3"/>
    <row r="3643" hidden="1" x14ac:dyDescent="0.3"/>
    <row r="3644" hidden="1" x14ac:dyDescent="0.3"/>
    <row r="3645" hidden="1" x14ac:dyDescent="0.3"/>
    <row r="3646" hidden="1" x14ac:dyDescent="0.3"/>
    <row r="3647" hidden="1" x14ac:dyDescent="0.3"/>
    <row r="3648" hidden="1" x14ac:dyDescent="0.3"/>
    <row r="3649" hidden="1" x14ac:dyDescent="0.3"/>
    <row r="3650" hidden="1" x14ac:dyDescent="0.3"/>
    <row r="3651" hidden="1" x14ac:dyDescent="0.3"/>
    <row r="3652" hidden="1" x14ac:dyDescent="0.3"/>
    <row r="3653" hidden="1" x14ac:dyDescent="0.3"/>
    <row r="3654" hidden="1" x14ac:dyDescent="0.3"/>
    <row r="3655" hidden="1" x14ac:dyDescent="0.3"/>
    <row r="3656" hidden="1" x14ac:dyDescent="0.3"/>
    <row r="3657" hidden="1" x14ac:dyDescent="0.3"/>
    <row r="3658" hidden="1" x14ac:dyDescent="0.3"/>
    <row r="3659" hidden="1" x14ac:dyDescent="0.3"/>
    <row r="3660" hidden="1" x14ac:dyDescent="0.3"/>
    <row r="3661" hidden="1" x14ac:dyDescent="0.3"/>
    <row r="3662" hidden="1" x14ac:dyDescent="0.3"/>
    <row r="3663" hidden="1" x14ac:dyDescent="0.3"/>
    <row r="3664" hidden="1" x14ac:dyDescent="0.3"/>
    <row r="3665" hidden="1" x14ac:dyDescent="0.3"/>
    <row r="3666" hidden="1" x14ac:dyDescent="0.3"/>
    <row r="3667" hidden="1" x14ac:dyDescent="0.3"/>
    <row r="3668" hidden="1" x14ac:dyDescent="0.3"/>
    <row r="3669" hidden="1" x14ac:dyDescent="0.3"/>
    <row r="3670" hidden="1" x14ac:dyDescent="0.3"/>
    <row r="3671" hidden="1" x14ac:dyDescent="0.3"/>
    <row r="3672" hidden="1" x14ac:dyDescent="0.3"/>
    <row r="3673" hidden="1" x14ac:dyDescent="0.3"/>
    <row r="3674" hidden="1" x14ac:dyDescent="0.3"/>
    <row r="3675" hidden="1" x14ac:dyDescent="0.3"/>
    <row r="3676" hidden="1" x14ac:dyDescent="0.3"/>
    <row r="3677" hidden="1" x14ac:dyDescent="0.3"/>
    <row r="3678" hidden="1" x14ac:dyDescent="0.3"/>
    <row r="3679" hidden="1" x14ac:dyDescent="0.3"/>
    <row r="3680" hidden="1" x14ac:dyDescent="0.3"/>
    <row r="3681" hidden="1" x14ac:dyDescent="0.3"/>
    <row r="3682" hidden="1" x14ac:dyDescent="0.3"/>
    <row r="3683" hidden="1" x14ac:dyDescent="0.3"/>
    <row r="3684" hidden="1" x14ac:dyDescent="0.3"/>
    <row r="3685" hidden="1" x14ac:dyDescent="0.3"/>
    <row r="3686" hidden="1" x14ac:dyDescent="0.3"/>
    <row r="3687" hidden="1" x14ac:dyDescent="0.3"/>
    <row r="3688" hidden="1" x14ac:dyDescent="0.3"/>
    <row r="3689" hidden="1" x14ac:dyDescent="0.3"/>
    <row r="3690" hidden="1" x14ac:dyDescent="0.3"/>
    <row r="3691" hidden="1" x14ac:dyDescent="0.3"/>
    <row r="3692" hidden="1" x14ac:dyDescent="0.3"/>
    <row r="3693" hidden="1" x14ac:dyDescent="0.3"/>
    <row r="3694" hidden="1" x14ac:dyDescent="0.3"/>
    <row r="3695" hidden="1" x14ac:dyDescent="0.3"/>
    <row r="3696" hidden="1" x14ac:dyDescent="0.3"/>
    <row r="3697" hidden="1" x14ac:dyDescent="0.3"/>
    <row r="3698" hidden="1" x14ac:dyDescent="0.3"/>
    <row r="3699" hidden="1" x14ac:dyDescent="0.3"/>
    <row r="3700" hidden="1" x14ac:dyDescent="0.3"/>
    <row r="3701" hidden="1" x14ac:dyDescent="0.3"/>
    <row r="3702" hidden="1" x14ac:dyDescent="0.3"/>
    <row r="3703" hidden="1" x14ac:dyDescent="0.3"/>
    <row r="3704" hidden="1" x14ac:dyDescent="0.3"/>
    <row r="3705" hidden="1" x14ac:dyDescent="0.3"/>
    <row r="3706" hidden="1" x14ac:dyDescent="0.3"/>
    <row r="3707" hidden="1" x14ac:dyDescent="0.3"/>
    <row r="3708" hidden="1" x14ac:dyDescent="0.3"/>
    <row r="3709" hidden="1" x14ac:dyDescent="0.3"/>
    <row r="3710" hidden="1" x14ac:dyDescent="0.3"/>
    <row r="3711" hidden="1" x14ac:dyDescent="0.3"/>
    <row r="3712" hidden="1" x14ac:dyDescent="0.3"/>
    <row r="3713" hidden="1" x14ac:dyDescent="0.3"/>
    <row r="3714" hidden="1" x14ac:dyDescent="0.3"/>
    <row r="3715" hidden="1" x14ac:dyDescent="0.3"/>
    <row r="3716" hidden="1" x14ac:dyDescent="0.3"/>
    <row r="3717" hidden="1" x14ac:dyDescent="0.3"/>
    <row r="3718" hidden="1" x14ac:dyDescent="0.3"/>
    <row r="3719" hidden="1" x14ac:dyDescent="0.3"/>
    <row r="3720" hidden="1" x14ac:dyDescent="0.3"/>
    <row r="3721" hidden="1" x14ac:dyDescent="0.3"/>
    <row r="3722" hidden="1" x14ac:dyDescent="0.3"/>
    <row r="3723" hidden="1" x14ac:dyDescent="0.3"/>
    <row r="3724" hidden="1" x14ac:dyDescent="0.3"/>
    <row r="3725" hidden="1" x14ac:dyDescent="0.3"/>
    <row r="3726" hidden="1" x14ac:dyDescent="0.3"/>
    <row r="3727" hidden="1" x14ac:dyDescent="0.3"/>
    <row r="3728" hidden="1" x14ac:dyDescent="0.3"/>
    <row r="3729" hidden="1" x14ac:dyDescent="0.3"/>
    <row r="3730" hidden="1" x14ac:dyDescent="0.3"/>
    <row r="3731" hidden="1" x14ac:dyDescent="0.3"/>
    <row r="3732" hidden="1" x14ac:dyDescent="0.3"/>
    <row r="3733" hidden="1" x14ac:dyDescent="0.3"/>
    <row r="3734" hidden="1" x14ac:dyDescent="0.3"/>
    <row r="3735" hidden="1" x14ac:dyDescent="0.3"/>
    <row r="3736" hidden="1" x14ac:dyDescent="0.3"/>
    <row r="3737" hidden="1" x14ac:dyDescent="0.3"/>
    <row r="3738" hidden="1" x14ac:dyDescent="0.3"/>
    <row r="3739" hidden="1" x14ac:dyDescent="0.3"/>
    <row r="3740" hidden="1" x14ac:dyDescent="0.3"/>
    <row r="3741" hidden="1" x14ac:dyDescent="0.3"/>
    <row r="3742" hidden="1" x14ac:dyDescent="0.3"/>
    <row r="3743" hidden="1" x14ac:dyDescent="0.3"/>
    <row r="3744" hidden="1" x14ac:dyDescent="0.3"/>
    <row r="3745" hidden="1" x14ac:dyDescent="0.3"/>
    <row r="3746" hidden="1" x14ac:dyDescent="0.3"/>
    <row r="3747" hidden="1" x14ac:dyDescent="0.3"/>
    <row r="3748" hidden="1" x14ac:dyDescent="0.3"/>
    <row r="3749" hidden="1" x14ac:dyDescent="0.3"/>
    <row r="3750" hidden="1" x14ac:dyDescent="0.3"/>
    <row r="3751" hidden="1" x14ac:dyDescent="0.3"/>
    <row r="3752" hidden="1" x14ac:dyDescent="0.3"/>
    <row r="3753" hidden="1" x14ac:dyDescent="0.3"/>
    <row r="3754" hidden="1" x14ac:dyDescent="0.3"/>
    <row r="3755" hidden="1" x14ac:dyDescent="0.3"/>
    <row r="3756" hidden="1" x14ac:dyDescent="0.3"/>
    <row r="3757" hidden="1" x14ac:dyDescent="0.3"/>
    <row r="3758" hidden="1" x14ac:dyDescent="0.3"/>
    <row r="3759" hidden="1" x14ac:dyDescent="0.3"/>
    <row r="3760" hidden="1" x14ac:dyDescent="0.3"/>
    <row r="3761" hidden="1" x14ac:dyDescent="0.3"/>
    <row r="3762" hidden="1" x14ac:dyDescent="0.3"/>
    <row r="3763" hidden="1" x14ac:dyDescent="0.3"/>
    <row r="3764" hidden="1" x14ac:dyDescent="0.3"/>
    <row r="3765" hidden="1" x14ac:dyDescent="0.3"/>
    <row r="3766" hidden="1" x14ac:dyDescent="0.3"/>
    <row r="3767" hidden="1" x14ac:dyDescent="0.3"/>
    <row r="3768" hidden="1" x14ac:dyDescent="0.3"/>
    <row r="3769" hidden="1" x14ac:dyDescent="0.3"/>
    <row r="3770" hidden="1" x14ac:dyDescent="0.3"/>
    <row r="3771" hidden="1" x14ac:dyDescent="0.3"/>
    <row r="3772" hidden="1" x14ac:dyDescent="0.3"/>
    <row r="3773" hidden="1" x14ac:dyDescent="0.3"/>
    <row r="3774" hidden="1" x14ac:dyDescent="0.3"/>
    <row r="3775" hidden="1" x14ac:dyDescent="0.3"/>
    <row r="3776" hidden="1" x14ac:dyDescent="0.3"/>
    <row r="3777" hidden="1" x14ac:dyDescent="0.3"/>
    <row r="3778" hidden="1" x14ac:dyDescent="0.3"/>
    <row r="3779" hidden="1" x14ac:dyDescent="0.3"/>
    <row r="3780" hidden="1" x14ac:dyDescent="0.3"/>
    <row r="3781" hidden="1" x14ac:dyDescent="0.3"/>
    <row r="3782" hidden="1" x14ac:dyDescent="0.3"/>
    <row r="3783" hidden="1" x14ac:dyDescent="0.3"/>
    <row r="3784" hidden="1" x14ac:dyDescent="0.3"/>
    <row r="3785" hidden="1" x14ac:dyDescent="0.3"/>
    <row r="3786" hidden="1" x14ac:dyDescent="0.3"/>
    <row r="3787" hidden="1" x14ac:dyDescent="0.3"/>
    <row r="3788" hidden="1" x14ac:dyDescent="0.3"/>
    <row r="3789" hidden="1" x14ac:dyDescent="0.3"/>
    <row r="3790" hidden="1" x14ac:dyDescent="0.3"/>
    <row r="3791" hidden="1" x14ac:dyDescent="0.3"/>
    <row r="3792" hidden="1" x14ac:dyDescent="0.3"/>
    <row r="3793" hidden="1" x14ac:dyDescent="0.3"/>
    <row r="3794" hidden="1" x14ac:dyDescent="0.3"/>
    <row r="3795" hidden="1" x14ac:dyDescent="0.3"/>
    <row r="3796" hidden="1" x14ac:dyDescent="0.3"/>
    <row r="3797" hidden="1" x14ac:dyDescent="0.3"/>
    <row r="3798" hidden="1" x14ac:dyDescent="0.3"/>
    <row r="3799" hidden="1" x14ac:dyDescent="0.3"/>
    <row r="3800" hidden="1" x14ac:dyDescent="0.3"/>
    <row r="3801" hidden="1" x14ac:dyDescent="0.3"/>
    <row r="3802" hidden="1" x14ac:dyDescent="0.3"/>
    <row r="3803" hidden="1" x14ac:dyDescent="0.3"/>
    <row r="3804" hidden="1" x14ac:dyDescent="0.3"/>
    <row r="3805" hidden="1" x14ac:dyDescent="0.3"/>
    <row r="3806" hidden="1" x14ac:dyDescent="0.3"/>
    <row r="3807" hidden="1" x14ac:dyDescent="0.3"/>
    <row r="3808" hidden="1" x14ac:dyDescent="0.3"/>
    <row r="3809" hidden="1" x14ac:dyDescent="0.3"/>
    <row r="3810" hidden="1" x14ac:dyDescent="0.3"/>
    <row r="3811" hidden="1" x14ac:dyDescent="0.3"/>
    <row r="3812" hidden="1" x14ac:dyDescent="0.3"/>
    <row r="3813" hidden="1" x14ac:dyDescent="0.3"/>
    <row r="3814" hidden="1" x14ac:dyDescent="0.3"/>
    <row r="3815" hidden="1" x14ac:dyDescent="0.3"/>
    <row r="3816" hidden="1" x14ac:dyDescent="0.3"/>
    <row r="3817" hidden="1" x14ac:dyDescent="0.3"/>
    <row r="3818" hidden="1" x14ac:dyDescent="0.3"/>
    <row r="3819" hidden="1" x14ac:dyDescent="0.3"/>
    <row r="3820" hidden="1" x14ac:dyDescent="0.3"/>
    <row r="3821" hidden="1" x14ac:dyDescent="0.3"/>
    <row r="3822" hidden="1" x14ac:dyDescent="0.3"/>
    <row r="3823" hidden="1" x14ac:dyDescent="0.3"/>
    <row r="3824" hidden="1" x14ac:dyDescent="0.3"/>
    <row r="3825" hidden="1" x14ac:dyDescent="0.3"/>
    <row r="3826" hidden="1" x14ac:dyDescent="0.3"/>
    <row r="3827" hidden="1" x14ac:dyDescent="0.3"/>
    <row r="3828" hidden="1" x14ac:dyDescent="0.3"/>
    <row r="3829" hidden="1" x14ac:dyDescent="0.3"/>
    <row r="3830" hidden="1" x14ac:dyDescent="0.3"/>
    <row r="3831" hidden="1" x14ac:dyDescent="0.3"/>
    <row r="3832" hidden="1" x14ac:dyDescent="0.3"/>
    <row r="3833" hidden="1" x14ac:dyDescent="0.3"/>
    <row r="3834" hidden="1" x14ac:dyDescent="0.3"/>
    <row r="3835" hidden="1" x14ac:dyDescent="0.3"/>
    <row r="3836" hidden="1" x14ac:dyDescent="0.3"/>
    <row r="3837" hidden="1" x14ac:dyDescent="0.3"/>
    <row r="3838" hidden="1" x14ac:dyDescent="0.3"/>
    <row r="3839" hidden="1" x14ac:dyDescent="0.3"/>
    <row r="3840" hidden="1" x14ac:dyDescent="0.3"/>
    <row r="3841" hidden="1" x14ac:dyDescent="0.3"/>
    <row r="3842" hidden="1" x14ac:dyDescent="0.3"/>
    <row r="3843" hidden="1" x14ac:dyDescent="0.3"/>
    <row r="3844" hidden="1" x14ac:dyDescent="0.3"/>
    <row r="3845" hidden="1" x14ac:dyDescent="0.3"/>
    <row r="3846" hidden="1" x14ac:dyDescent="0.3"/>
    <row r="3847" hidden="1" x14ac:dyDescent="0.3"/>
    <row r="3848" hidden="1" x14ac:dyDescent="0.3"/>
    <row r="3849" hidden="1" x14ac:dyDescent="0.3"/>
    <row r="3850" hidden="1" x14ac:dyDescent="0.3"/>
    <row r="3851" hidden="1" x14ac:dyDescent="0.3"/>
    <row r="3852" hidden="1" x14ac:dyDescent="0.3"/>
    <row r="3853" hidden="1" x14ac:dyDescent="0.3"/>
    <row r="3854" hidden="1" x14ac:dyDescent="0.3"/>
    <row r="3855" hidden="1" x14ac:dyDescent="0.3"/>
    <row r="3856" hidden="1" x14ac:dyDescent="0.3"/>
    <row r="3857" hidden="1" x14ac:dyDescent="0.3"/>
    <row r="3858" hidden="1" x14ac:dyDescent="0.3"/>
    <row r="3859" hidden="1" x14ac:dyDescent="0.3"/>
    <row r="3860" hidden="1" x14ac:dyDescent="0.3"/>
    <row r="3861" hidden="1" x14ac:dyDescent="0.3"/>
    <row r="3862" hidden="1" x14ac:dyDescent="0.3"/>
    <row r="3863" hidden="1" x14ac:dyDescent="0.3"/>
    <row r="3864" hidden="1" x14ac:dyDescent="0.3"/>
    <row r="3865" hidden="1" x14ac:dyDescent="0.3"/>
    <row r="3866" hidden="1" x14ac:dyDescent="0.3"/>
    <row r="3867" hidden="1" x14ac:dyDescent="0.3"/>
    <row r="3868" hidden="1" x14ac:dyDescent="0.3"/>
    <row r="3869" hidden="1" x14ac:dyDescent="0.3"/>
    <row r="3870" hidden="1" x14ac:dyDescent="0.3"/>
    <row r="3871" hidden="1" x14ac:dyDescent="0.3"/>
    <row r="3872" hidden="1" x14ac:dyDescent="0.3"/>
    <row r="3873" hidden="1" x14ac:dyDescent="0.3"/>
    <row r="3874" hidden="1" x14ac:dyDescent="0.3"/>
    <row r="3875" hidden="1" x14ac:dyDescent="0.3"/>
    <row r="3876" hidden="1" x14ac:dyDescent="0.3"/>
    <row r="3877" hidden="1" x14ac:dyDescent="0.3"/>
    <row r="3878" hidden="1" x14ac:dyDescent="0.3"/>
    <row r="3879" hidden="1" x14ac:dyDescent="0.3"/>
    <row r="3880" hidden="1" x14ac:dyDescent="0.3"/>
    <row r="3881" hidden="1" x14ac:dyDescent="0.3"/>
    <row r="3882" hidden="1" x14ac:dyDescent="0.3"/>
    <row r="3883" hidden="1" x14ac:dyDescent="0.3"/>
    <row r="3884" hidden="1" x14ac:dyDescent="0.3"/>
    <row r="3885" hidden="1" x14ac:dyDescent="0.3"/>
    <row r="3886" hidden="1" x14ac:dyDescent="0.3"/>
    <row r="3887" hidden="1" x14ac:dyDescent="0.3"/>
    <row r="3888" hidden="1" x14ac:dyDescent="0.3"/>
    <row r="3889" hidden="1" x14ac:dyDescent="0.3"/>
    <row r="3890" hidden="1" x14ac:dyDescent="0.3"/>
    <row r="3891" hidden="1" x14ac:dyDescent="0.3"/>
    <row r="3892" hidden="1" x14ac:dyDescent="0.3"/>
    <row r="3893" hidden="1" x14ac:dyDescent="0.3"/>
    <row r="3894" hidden="1" x14ac:dyDescent="0.3"/>
    <row r="3895" hidden="1" x14ac:dyDescent="0.3"/>
    <row r="3896" hidden="1" x14ac:dyDescent="0.3"/>
    <row r="3897" hidden="1" x14ac:dyDescent="0.3"/>
    <row r="3898" hidden="1" x14ac:dyDescent="0.3"/>
    <row r="3899" hidden="1" x14ac:dyDescent="0.3"/>
    <row r="3900" hidden="1" x14ac:dyDescent="0.3"/>
    <row r="3901" hidden="1" x14ac:dyDescent="0.3"/>
    <row r="3902" hidden="1" x14ac:dyDescent="0.3"/>
    <row r="3903" hidden="1" x14ac:dyDescent="0.3"/>
    <row r="3904" hidden="1" x14ac:dyDescent="0.3"/>
    <row r="3905" hidden="1" x14ac:dyDescent="0.3"/>
    <row r="3906" hidden="1" x14ac:dyDescent="0.3"/>
    <row r="3907" hidden="1" x14ac:dyDescent="0.3"/>
    <row r="3908" hidden="1" x14ac:dyDescent="0.3"/>
    <row r="3909" hidden="1" x14ac:dyDescent="0.3"/>
    <row r="3910" hidden="1" x14ac:dyDescent="0.3"/>
    <row r="3911" hidden="1" x14ac:dyDescent="0.3"/>
    <row r="3912" hidden="1" x14ac:dyDescent="0.3"/>
    <row r="3913" hidden="1" x14ac:dyDescent="0.3"/>
    <row r="3914" hidden="1" x14ac:dyDescent="0.3"/>
    <row r="3915" hidden="1" x14ac:dyDescent="0.3"/>
    <row r="3916" hidden="1" x14ac:dyDescent="0.3"/>
    <row r="3917" hidden="1" x14ac:dyDescent="0.3"/>
    <row r="3918" hidden="1" x14ac:dyDescent="0.3"/>
    <row r="3919" hidden="1" x14ac:dyDescent="0.3"/>
    <row r="3920" hidden="1" x14ac:dyDescent="0.3"/>
    <row r="3921" hidden="1" x14ac:dyDescent="0.3"/>
    <row r="3922" hidden="1" x14ac:dyDescent="0.3"/>
    <row r="3923" hidden="1" x14ac:dyDescent="0.3"/>
    <row r="3924" hidden="1" x14ac:dyDescent="0.3"/>
    <row r="3925" hidden="1" x14ac:dyDescent="0.3"/>
    <row r="3926" hidden="1" x14ac:dyDescent="0.3"/>
    <row r="3927" hidden="1" x14ac:dyDescent="0.3"/>
    <row r="3928" hidden="1" x14ac:dyDescent="0.3"/>
    <row r="3929" hidden="1" x14ac:dyDescent="0.3"/>
    <row r="3930" hidden="1" x14ac:dyDescent="0.3"/>
    <row r="3931" hidden="1" x14ac:dyDescent="0.3"/>
    <row r="3932" hidden="1" x14ac:dyDescent="0.3"/>
    <row r="3933" hidden="1" x14ac:dyDescent="0.3"/>
    <row r="3934" hidden="1" x14ac:dyDescent="0.3"/>
    <row r="3935" hidden="1" x14ac:dyDescent="0.3"/>
    <row r="3936" hidden="1" x14ac:dyDescent="0.3"/>
    <row r="3937" hidden="1" x14ac:dyDescent="0.3"/>
    <row r="3938" hidden="1" x14ac:dyDescent="0.3"/>
    <row r="3939" hidden="1" x14ac:dyDescent="0.3"/>
    <row r="3940" hidden="1" x14ac:dyDescent="0.3"/>
    <row r="3941" hidden="1" x14ac:dyDescent="0.3"/>
    <row r="3942" hidden="1" x14ac:dyDescent="0.3"/>
    <row r="3943" hidden="1" x14ac:dyDescent="0.3"/>
    <row r="3944" hidden="1" x14ac:dyDescent="0.3"/>
    <row r="3945" hidden="1" x14ac:dyDescent="0.3"/>
    <row r="3946" hidden="1" x14ac:dyDescent="0.3"/>
    <row r="3947" hidden="1" x14ac:dyDescent="0.3"/>
    <row r="3948" hidden="1" x14ac:dyDescent="0.3"/>
    <row r="3949" hidden="1" x14ac:dyDescent="0.3"/>
    <row r="3950" hidden="1" x14ac:dyDescent="0.3"/>
    <row r="3951" hidden="1" x14ac:dyDescent="0.3"/>
    <row r="3952" hidden="1" x14ac:dyDescent="0.3"/>
    <row r="3953" hidden="1" x14ac:dyDescent="0.3"/>
    <row r="3954" hidden="1" x14ac:dyDescent="0.3"/>
    <row r="3955" hidden="1" x14ac:dyDescent="0.3"/>
    <row r="3956" hidden="1" x14ac:dyDescent="0.3"/>
    <row r="3957" hidden="1" x14ac:dyDescent="0.3"/>
    <row r="3958" hidden="1" x14ac:dyDescent="0.3"/>
    <row r="3959" hidden="1" x14ac:dyDescent="0.3"/>
    <row r="3960" hidden="1" x14ac:dyDescent="0.3"/>
    <row r="3961" hidden="1" x14ac:dyDescent="0.3"/>
    <row r="3962" hidden="1" x14ac:dyDescent="0.3"/>
    <row r="3963" hidden="1" x14ac:dyDescent="0.3"/>
    <row r="3964" hidden="1" x14ac:dyDescent="0.3"/>
    <row r="3965" hidden="1" x14ac:dyDescent="0.3"/>
    <row r="3966" hidden="1" x14ac:dyDescent="0.3"/>
    <row r="3967" hidden="1" x14ac:dyDescent="0.3"/>
    <row r="3968" hidden="1" x14ac:dyDescent="0.3"/>
    <row r="3969" hidden="1" x14ac:dyDescent="0.3"/>
    <row r="3970" hidden="1" x14ac:dyDescent="0.3"/>
    <row r="3971" hidden="1" x14ac:dyDescent="0.3"/>
    <row r="3972" hidden="1" x14ac:dyDescent="0.3"/>
    <row r="3973" hidden="1" x14ac:dyDescent="0.3"/>
    <row r="3974" hidden="1" x14ac:dyDescent="0.3"/>
    <row r="3975" hidden="1" x14ac:dyDescent="0.3"/>
    <row r="3976" hidden="1" x14ac:dyDescent="0.3"/>
    <row r="3977" hidden="1" x14ac:dyDescent="0.3"/>
    <row r="3978" hidden="1" x14ac:dyDescent="0.3"/>
    <row r="3979" hidden="1" x14ac:dyDescent="0.3"/>
    <row r="3980" hidden="1" x14ac:dyDescent="0.3"/>
    <row r="3981" hidden="1" x14ac:dyDescent="0.3"/>
    <row r="3982" hidden="1" x14ac:dyDescent="0.3"/>
    <row r="3983" hidden="1" x14ac:dyDescent="0.3"/>
    <row r="3984" hidden="1" x14ac:dyDescent="0.3"/>
    <row r="3985" hidden="1" x14ac:dyDescent="0.3"/>
    <row r="3986" hidden="1" x14ac:dyDescent="0.3"/>
    <row r="3987" hidden="1" x14ac:dyDescent="0.3"/>
    <row r="3988" hidden="1" x14ac:dyDescent="0.3"/>
    <row r="3989" hidden="1" x14ac:dyDescent="0.3"/>
    <row r="3990" hidden="1" x14ac:dyDescent="0.3"/>
    <row r="3991" hidden="1" x14ac:dyDescent="0.3"/>
    <row r="3992" hidden="1" x14ac:dyDescent="0.3"/>
    <row r="3993" hidden="1" x14ac:dyDescent="0.3"/>
    <row r="3994" hidden="1" x14ac:dyDescent="0.3"/>
    <row r="3995" hidden="1" x14ac:dyDescent="0.3"/>
    <row r="3996" hidden="1" x14ac:dyDescent="0.3"/>
    <row r="3997" hidden="1" x14ac:dyDescent="0.3"/>
    <row r="3998" hidden="1" x14ac:dyDescent="0.3"/>
    <row r="3999" hidden="1" x14ac:dyDescent="0.3"/>
    <row r="4000" hidden="1" x14ac:dyDescent="0.3"/>
    <row r="4001" hidden="1" x14ac:dyDescent="0.3"/>
    <row r="4002" hidden="1" x14ac:dyDescent="0.3"/>
    <row r="4003" hidden="1" x14ac:dyDescent="0.3"/>
    <row r="4004" hidden="1" x14ac:dyDescent="0.3"/>
    <row r="4005" hidden="1" x14ac:dyDescent="0.3"/>
    <row r="4006" hidden="1" x14ac:dyDescent="0.3"/>
    <row r="4007" hidden="1" x14ac:dyDescent="0.3"/>
    <row r="4008" hidden="1" x14ac:dyDescent="0.3"/>
    <row r="4009" hidden="1" x14ac:dyDescent="0.3"/>
    <row r="4010" hidden="1" x14ac:dyDescent="0.3"/>
    <row r="4011" hidden="1" x14ac:dyDescent="0.3"/>
    <row r="4012" hidden="1" x14ac:dyDescent="0.3"/>
    <row r="4013" hidden="1" x14ac:dyDescent="0.3"/>
    <row r="4014" hidden="1" x14ac:dyDescent="0.3"/>
    <row r="4015" hidden="1" x14ac:dyDescent="0.3"/>
    <row r="4016" hidden="1" x14ac:dyDescent="0.3"/>
    <row r="4017" hidden="1" x14ac:dyDescent="0.3"/>
    <row r="4018" hidden="1" x14ac:dyDescent="0.3"/>
    <row r="4019" hidden="1" x14ac:dyDescent="0.3"/>
    <row r="4020" hidden="1" x14ac:dyDescent="0.3"/>
    <row r="4021" hidden="1" x14ac:dyDescent="0.3"/>
    <row r="4022" hidden="1" x14ac:dyDescent="0.3"/>
    <row r="4023" hidden="1" x14ac:dyDescent="0.3"/>
    <row r="4024" hidden="1" x14ac:dyDescent="0.3"/>
    <row r="4025" hidden="1" x14ac:dyDescent="0.3"/>
    <row r="4026" hidden="1" x14ac:dyDescent="0.3"/>
    <row r="4027" hidden="1" x14ac:dyDescent="0.3"/>
    <row r="4028" hidden="1" x14ac:dyDescent="0.3"/>
    <row r="4029" hidden="1" x14ac:dyDescent="0.3"/>
    <row r="4030" hidden="1" x14ac:dyDescent="0.3"/>
    <row r="4031" hidden="1" x14ac:dyDescent="0.3"/>
    <row r="4032" hidden="1" x14ac:dyDescent="0.3"/>
    <row r="4033" hidden="1" x14ac:dyDescent="0.3"/>
    <row r="4034" hidden="1" x14ac:dyDescent="0.3"/>
    <row r="4035" hidden="1" x14ac:dyDescent="0.3"/>
    <row r="4036" hidden="1" x14ac:dyDescent="0.3"/>
    <row r="4037" hidden="1" x14ac:dyDescent="0.3"/>
    <row r="4038" hidden="1" x14ac:dyDescent="0.3"/>
    <row r="4039" hidden="1" x14ac:dyDescent="0.3"/>
    <row r="4040" hidden="1" x14ac:dyDescent="0.3"/>
    <row r="4041" hidden="1" x14ac:dyDescent="0.3"/>
    <row r="4042" hidden="1" x14ac:dyDescent="0.3"/>
    <row r="4043" hidden="1" x14ac:dyDescent="0.3"/>
    <row r="4044" hidden="1" x14ac:dyDescent="0.3"/>
    <row r="4045" hidden="1" x14ac:dyDescent="0.3"/>
    <row r="4046" hidden="1" x14ac:dyDescent="0.3"/>
    <row r="4047" hidden="1" x14ac:dyDescent="0.3"/>
    <row r="4048" hidden="1" x14ac:dyDescent="0.3"/>
    <row r="4049" hidden="1" x14ac:dyDescent="0.3"/>
    <row r="4050" hidden="1" x14ac:dyDescent="0.3"/>
    <row r="4051" hidden="1" x14ac:dyDescent="0.3"/>
    <row r="4052" hidden="1" x14ac:dyDescent="0.3"/>
    <row r="4053" hidden="1" x14ac:dyDescent="0.3"/>
    <row r="4054" hidden="1" x14ac:dyDescent="0.3"/>
    <row r="4055" hidden="1" x14ac:dyDescent="0.3"/>
    <row r="4056" hidden="1" x14ac:dyDescent="0.3"/>
    <row r="4057" hidden="1" x14ac:dyDescent="0.3"/>
    <row r="4058" hidden="1" x14ac:dyDescent="0.3"/>
    <row r="4059" hidden="1" x14ac:dyDescent="0.3"/>
    <row r="4060" hidden="1" x14ac:dyDescent="0.3"/>
    <row r="4061" hidden="1" x14ac:dyDescent="0.3"/>
    <row r="4062" hidden="1" x14ac:dyDescent="0.3"/>
    <row r="4063" hidden="1" x14ac:dyDescent="0.3"/>
    <row r="4064" hidden="1" x14ac:dyDescent="0.3"/>
    <row r="4065" hidden="1" x14ac:dyDescent="0.3"/>
    <row r="4066" hidden="1" x14ac:dyDescent="0.3"/>
    <row r="4067" hidden="1" x14ac:dyDescent="0.3"/>
    <row r="4068" hidden="1" x14ac:dyDescent="0.3"/>
    <row r="4069" hidden="1" x14ac:dyDescent="0.3"/>
    <row r="4070" hidden="1" x14ac:dyDescent="0.3"/>
    <row r="4071" hidden="1" x14ac:dyDescent="0.3"/>
    <row r="4072" hidden="1" x14ac:dyDescent="0.3"/>
    <row r="4073" hidden="1" x14ac:dyDescent="0.3"/>
    <row r="4074" hidden="1" x14ac:dyDescent="0.3"/>
    <row r="4075" hidden="1" x14ac:dyDescent="0.3"/>
    <row r="4076" hidden="1" x14ac:dyDescent="0.3"/>
    <row r="4077" hidden="1" x14ac:dyDescent="0.3"/>
    <row r="4078" hidden="1" x14ac:dyDescent="0.3"/>
    <row r="4079" hidden="1" x14ac:dyDescent="0.3"/>
    <row r="4080" hidden="1" x14ac:dyDescent="0.3"/>
    <row r="4081" hidden="1" x14ac:dyDescent="0.3"/>
    <row r="4082" hidden="1" x14ac:dyDescent="0.3"/>
    <row r="4083" hidden="1" x14ac:dyDescent="0.3"/>
    <row r="4084" hidden="1" x14ac:dyDescent="0.3"/>
    <row r="4085" hidden="1" x14ac:dyDescent="0.3"/>
    <row r="4086" hidden="1" x14ac:dyDescent="0.3"/>
    <row r="4087" hidden="1" x14ac:dyDescent="0.3"/>
    <row r="4088" hidden="1" x14ac:dyDescent="0.3"/>
    <row r="4089" hidden="1" x14ac:dyDescent="0.3"/>
    <row r="4090" hidden="1" x14ac:dyDescent="0.3"/>
    <row r="4091" hidden="1" x14ac:dyDescent="0.3"/>
    <row r="4092" hidden="1" x14ac:dyDescent="0.3"/>
    <row r="4093" hidden="1" x14ac:dyDescent="0.3"/>
    <row r="4094" hidden="1" x14ac:dyDescent="0.3"/>
    <row r="4095" hidden="1" x14ac:dyDescent="0.3"/>
    <row r="4096" hidden="1" x14ac:dyDescent="0.3"/>
    <row r="4097" hidden="1" x14ac:dyDescent="0.3"/>
    <row r="4098" hidden="1" x14ac:dyDescent="0.3"/>
    <row r="4099" hidden="1" x14ac:dyDescent="0.3"/>
    <row r="4100" hidden="1" x14ac:dyDescent="0.3"/>
    <row r="4101" hidden="1" x14ac:dyDescent="0.3"/>
    <row r="4102" hidden="1" x14ac:dyDescent="0.3"/>
    <row r="4103" hidden="1" x14ac:dyDescent="0.3"/>
    <row r="4104" hidden="1" x14ac:dyDescent="0.3"/>
    <row r="4105" hidden="1" x14ac:dyDescent="0.3"/>
    <row r="4106" hidden="1" x14ac:dyDescent="0.3"/>
    <row r="4107" hidden="1" x14ac:dyDescent="0.3"/>
    <row r="4108" hidden="1" x14ac:dyDescent="0.3"/>
    <row r="4109" hidden="1" x14ac:dyDescent="0.3"/>
    <row r="4110" hidden="1" x14ac:dyDescent="0.3"/>
    <row r="4111" hidden="1" x14ac:dyDescent="0.3"/>
    <row r="4112" hidden="1" x14ac:dyDescent="0.3"/>
    <row r="4113" hidden="1" x14ac:dyDescent="0.3"/>
    <row r="4114" hidden="1" x14ac:dyDescent="0.3"/>
    <row r="4115" hidden="1" x14ac:dyDescent="0.3"/>
    <row r="4116" hidden="1" x14ac:dyDescent="0.3"/>
    <row r="4117" hidden="1" x14ac:dyDescent="0.3"/>
    <row r="4118" hidden="1" x14ac:dyDescent="0.3"/>
    <row r="4119" hidden="1" x14ac:dyDescent="0.3"/>
    <row r="4120" hidden="1" x14ac:dyDescent="0.3"/>
    <row r="4121" hidden="1" x14ac:dyDescent="0.3"/>
    <row r="4122" hidden="1" x14ac:dyDescent="0.3"/>
    <row r="4123" hidden="1" x14ac:dyDescent="0.3"/>
    <row r="4124" hidden="1" x14ac:dyDescent="0.3"/>
    <row r="4125" hidden="1" x14ac:dyDescent="0.3"/>
    <row r="4126" hidden="1" x14ac:dyDescent="0.3"/>
    <row r="4127" hidden="1" x14ac:dyDescent="0.3"/>
    <row r="4128" hidden="1" x14ac:dyDescent="0.3"/>
    <row r="4129" hidden="1" x14ac:dyDescent="0.3"/>
    <row r="4130" hidden="1" x14ac:dyDescent="0.3"/>
    <row r="4131" hidden="1" x14ac:dyDescent="0.3"/>
    <row r="4132" hidden="1" x14ac:dyDescent="0.3"/>
    <row r="4133" hidden="1" x14ac:dyDescent="0.3"/>
    <row r="4134" hidden="1" x14ac:dyDescent="0.3"/>
    <row r="4135" hidden="1" x14ac:dyDescent="0.3"/>
    <row r="4136" hidden="1" x14ac:dyDescent="0.3"/>
    <row r="4137" hidden="1" x14ac:dyDescent="0.3"/>
    <row r="4138" hidden="1" x14ac:dyDescent="0.3"/>
    <row r="4139" hidden="1" x14ac:dyDescent="0.3"/>
    <row r="4140" hidden="1" x14ac:dyDescent="0.3"/>
    <row r="4141" hidden="1" x14ac:dyDescent="0.3"/>
    <row r="4142" hidden="1" x14ac:dyDescent="0.3"/>
    <row r="4143" hidden="1" x14ac:dyDescent="0.3"/>
    <row r="4144" hidden="1" x14ac:dyDescent="0.3"/>
    <row r="4145" hidden="1" x14ac:dyDescent="0.3"/>
    <row r="4146" hidden="1" x14ac:dyDescent="0.3"/>
    <row r="4147" hidden="1" x14ac:dyDescent="0.3"/>
    <row r="4148" hidden="1" x14ac:dyDescent="0.3"/>
    <row r="4149" hidden="1" x14ac:dyDescent="0.3"/>
    <row r="4150" hidden="1" x14ac:dyDescent="0.3"/>
    <row r="4151" hidden="1" x14ac:dyDescent="0.3"/>
    <row r="4152" hidden="1" x14ac:dyDescent="0.3"/>
    <row r="4153" hidden="1" x14ac:dyDescent="0.3"/>
    <row r="4154" hidden="1" x14ac:dyDescent="0.3"/>
    <row r="4155" hidden="1" x14ac:dyDescent="0.3"/>
    <row r="4156" hidden="1" x14ac:dyDescent="0.3"/>
    <row r="4157" hidden="1" x14ac:dyDescent="0.3"/>
    <row r="4158" hidden="1" x14ac:dyDescent="0.3"/>
    <row r="4159" hidden="1" x14ac:dyDescent="0.3"/>
    <row r="4160" hidden="1" x14ac:dyDescent="0.3"/>
    <row r="4161" hidden="1" x14ac:dyDescent="0.3"/>
    <row r="4162" hidden="1" x14ac:dyDescent="0.3"/>
    <row r="4163" hidden="1" x14ac:dyDescent="0.3"/>
    <row r="4164" hidden="1" x14ac:dyDescent="0.3"/>
    <row r="4165" hidden="1" x14ac:dyDescent="0.3"/>
    <row r="4166" hidden="1" x14ac:dyDescent="0.3"/>
    <row r="4167" hidden="1" x14ac:dyDescent="0.3"/>
    <row r="4168" hidden="1" x14ac:dyDescent="0.3"/>
    <row r="4169" hidden="1" x14ac:dyDescent="0.3"/>
    <row r="4170" hidden="1" x14ac:dyDescent="0.3"/>
    <row r="4171" hidden="1" x14ac:dyDescent="0.3"/>
    <row r="4172" hidden="1" x14ac:dyDescent="0.3"/>
    <row r="4173" hidden="1" x14ac:dyDescent="0.3"/>
    <row r="4174" hidden="1" x14ac:dyDescent="0.3"/>
    <row r="4175" hidden="1" x14ac:dyDescent="0.3"/>
    <row r="4176" hidden="1" x14ac:dyDescent="0.3"/>
    <row r="4177" hidden="1" x14ac:dyDescent="0.3"/>
    <row r="4178" hidden="1" x14ac:dyDescent="0.3"/>
    <row r="4179" hidden="1" x14ac:dyDescent="0.3"/>
    <row r="4180" hidden="1" x14ac:dyDescent="0.3"/>
    <row r="4181" hidden="1" x14ac:dyDescent="0.3"/>
    <row r="4182" hidden="1" x14ac:dyDescent="0.3"/>
    <row r="4183" hidden="1" x14ac:dyDescent="0.3"/>
    <row r="4184" hidden="1" x14ac:dyDescent="0.3"/>
    <row r="4185" hidden="1" x14ac:dyDescent="0.3"/>
    <row r="4186" hidden="1" x14ac:dyDescent="0.3"/>
    <row r="4187" hidden="1" x14ac:dyDescent="0.3"/>
    <row r="4188" hidden="1" x14ac:dyDescent="0.3"/>
    <row r="4189" hidden="1" x14ac:dyDescent="0.3"/>
    <row r="4190" hidden="1" x14ac:dyDescent="0.3"/>
    <row r="4191" hidden="1" x14ac:dyDescent="0.3"/>
    <row r="4192" hidden="1" x14ac:dyDescent="0.3"/>
    <row r="4193" hidden="1" x14ac:dyDescent="0.3"/>
    <row r="4194" hidden="1" x14ac:dyDescent="0.3"/>
    <row r="4195" hidden="1" x14ac:dyDescent="0.3"/>
    <row r="4196" hidden="1" x14ac:dyDescent="0.3"/>
    <row r="4197" hidden="1" x14ac:dyDescent="0.3"/>
    <row r="4198" hidden="1" x14ac:dyDescent="0.3"/>
    <row r="4199" hidden="1" x14ac:dyDescent="0.3"/>
    <row r="4200" hidden="1" x14ac:dyDescent="0.3"/>
    <row r="4201" hidden="1" x14ac:dyDescent="0.3"/>
    <row r="4202" hidden="1" x14ac:dyDescent="0.3"/>
    <row r="4203" hidden="1" x14ac:dyDescent="0.3"/>
    <row r="4204" hidden="1" x14ac:dyDescent="0.3"/>
    <row r="4205" hidden="1" x14ac:dyDescent="0.3"/>
    <row r="4206" hidden="1" x14ac:dyDescent="0.3"/>
    <row r="4207" hidden="1" x14ac:dyDescent="0.3"/>
    <row r="4208" hidden="1" x14ac:dyDescent="0.3"/>
    <row r="4209" hidden="1" x14ac:dyDescent="0.3"/>
    <row r="4210" hidden="1" x14ac:dyDescent="0.3"/>
    <row r="4211" hidden="1" x14ac:dyDescent="0.3"/>
    <row r="4212" hidden="1" x14ac:dyDescent="0.3"/>
    <row r="4213" hidden="1" x14ac:dyDescent="0.3"/>
    <row r="4214" hidden="1" x14ac:dyDescent="0.3"/>
    <row r="4215" hidden="1" x14ac:dyDescent="0.3"/>
    <row r="4216" hidden="1" x14ac:dyDescent="0.3"/>
    <row r="4217" hidden="1" x14ac:dyDescent="0.3"/>
    <row r="4218" hidden="1" x14ac:dyDescent="0.3"/>
    <row r="4219" hidden="1" x14ac:dyDescent="0.3"/>
    <row r="4220" hidden="1" x14ac:dyDescent="0.3"/>
    <row r="4221" hidden="1" x14ac:dyDescent="0.3"/>
    <row r="4222" hidden="1" x14ac:dyDescent="0.3"/>
    <row r="4223" hidden="1" x14ac:dyDescent="0.3"/>
    <row r="4224" hidden="1" x14ac:dyDescent="0.3"/>
    <row r="4225" hidden="1" x14ac:dyDescent="0.3"/>
    <row r="4226" hidden="1" x14ac:dyDescent="0.3"/>
    <row r="4227" hidden="1" x14ac:dyDescent="0.3"/>
    <row r="4228" hidden="1" x14ac:dyDescent="0.3"/>
    <row r="4229" hidden="1" x14ac:dyDescent="0.3"/>
    <row r="4230" hidden="1" x14ac:dyDescent="0.3"/>
    <row r="4231" hidden="1" x14ac:dyDescent="0.3"/>
    <row r="4232" hidden="1" x14ac:dyDescent="0.3"/>
    <row r="4233" hidden="1" x14ac:dyDescent="0.3"/>
    <row r="4234" hidden="1" x14ac:dyDescent="0.3"/>
    <row r="4235" hidden="1" x14ac:dyDescent="0.3"/>
    <row r="4236" hidden="1" x14ac:dyDescent="0.3"/>
    <row r="4237" hidden="1" x14ac:dyDescent="0.3"/>
    <row r="4238" hidden="1" x14ac:dyDescent="0.3"/>
    <row r="4239" hidden="1" x14ac:dyDescent="0.3"/>
    <row r="4240" hidden="1" x14ac:dyDescent="0.3"/>
    <row r="4241" hidden="1" x14ac:dyDescent="0.3"/>
    <row r="4242" hidden="1" x14ac:dyDescent="0.3"/>
    <row r="4243" hidden="1" x14ac:dyDescent="0.3"/>
    <row r="4244" hidden="1" x14ac:dyDescent="0.3"/>
    <row r="4245" hidden="1" x14ac:dyDescent="0.3"/>
    <row r="4246" hidden="1" x14ac:dyDescent="0.3"/>
    <row r="4247" hidden="1" x14ac:dyDescent="0.3"/>
    <row r="4248" hidden="1" x14ac:dyDescent="0.3"/>
    <row r="4249" hidden="1" x14ac:dyDescent="0.3"/>
    <row r="4250" hidden="1" x14ac:dyDescent="0.3"/>
    <row r="4251" hidden="1" x14ac:dyDescent="0.3"/>
    <row r="4252" hidden="1" x14ac:dyDescent="0.3"/>
    <row r="4253" hidden="1" x14ac:dyDescent="0.3"/>
    <row r="4254" hidden="1" x14ac:dyDescent="0.3"/>
    <row r="4255" hidden="1" x14ac:dyDescent="0.3"/>
    <row r="4256" hidden="1" x14ac:dyDescent="0.3"/>
    <row r="4257" hidden="1" x14ac:dyDescent="0.3"/>
    <row r="4258" hidden="1" x14ac:dyDescent="0.3"/>
    <row r="4259" hidden="1" x14ac:dyDescent="0.3"/>
    <row r="4260" hidden="1" x14ac:dyDescent="0.3"/>
    <row r="4261" hidden="1" x14ac:dyDescent="0.3"/>
    <row r="4262" hidden="1" x14ac:dyDescent="0.3"/>
    <row r="4263" hidden="1" x14ac:dyDescent="0.3"/>
    <row r="4264" hidden="1" x14ac:dyDescent="0.3"/>
    <row r="4265" hidden="1" x14ac:dyDescent="0.3"/>
    <row r="4266" hidden="1" x14ac:dyDescent="0.3"/>
    <row r="4267" hidden="1" x14ac:dyDescent="0.3"/>
    <row r="4268" hidden="1" x14ac:dyDescent="0.3"/>
    <row r="4269" hidden="1" x14ac:dyDescent="0.3"/>
    <row r="4270" hidden="1" x14ac:dyDescent="0.3"/>
    <row r="4271" hidden="1" x14ac:dyDescent="0.3"/>
    <row r="4272" hidden="1" x14ac:dyDescent="0.3"/>
    <row r="4273" hidden="1" x14ac:dyDescent="0.3"/>
    <row r="4274" hidden="1" x14ac:dyDescent="0.3"/>
    <row r="4275" hidden="1" x14ac:dyDescent="0.3"/>
    <row r="4276" hidden="1" x14ac:dyDescent="0.3"/>
    <row r="4277" hidden="1" x14ac:dyDescent="0.3"/>
    <row r="4278" hidden="1" x14ac:dyDescent="0.3"/>
    <row r="4279" hidden="1" x14ac:dyDescent="0.3"/>
    <row r="4280" hidden="1" x14ac:dyDescent="0.3"/>
    <row r="4281" hidden="1" x14ac:dyDescent="0.3"/>
    <row r="4282" hidden="1" x14ac:dyDescent="0.3"/>
    <row r="4283" hidden="1" x14ac:dyDescent="0.3"/>
    <row r="4284" hidden="1" x14ac:dyDescent="0.3"/>
    <row r="4285" hidden="1" x14ac:dyDescent="0.3"/>
    <row r="4286" hidden="1" x14ac:dyDescent="0.3"/>
    <row r="4287" hidden="1" x14ac:dyDescent="0.3"/>
    <row r="4288" hidden="1" x14ac:dyDescent="0.3"/>
    <row r="4289" hidden="1" x14ac:dyDescent="0.3"/>
    <row r="4290" hidden="1" x14ac:dyDescent="0.3"/>
    <row r="4291" hidden="1" x14ac:dyDescent="0.3"/>
    <row r="4292" hidden="1" x14ac:dyDescent="0.3"/>
    <row r="4293" hidden="1" x14ac:dyDescent="0.3"/>
    <row r="4294" hidden="1" x14ac:dyDescent="0.3"/>
    <row r="4295" hidden="1" x14ac:dyDescent="0.3"/>
    <row r="4296" hidden="1" x14ac:dyDescent="0.3"/>
    <row r="4297" hidden="1" x14ac:dyDescent="0.3"/>
    <row r="4298" hidden="1" x14ac:dyDescent="0.3"/>
    <row r="4299" hidden="1" x14ac:dyDescent="0.3"/>
    <row r="4300" hidden="1" x14ac:dyDescent="0.3"/>
    <row r="4301" hidden="1" x14ac:dyDescent="0.3"/>
    <row r="4302" hidden="1" x14ac:dyDescent="0.3"/>
    <row r="4303" hidden="1" x14ac:dyDescent="0.3"/>
    <row r="4304" hidden="1" x14ac:dyDescent="0.3"/>
    <row r="4305" hidden="1" x14ac:dyDescent="0.3"/>
    <row r="4306" hidden="1" x14ac:dyDescent="0.3"/>
    <row r="4307" hidden="1" x14ac:dyDescent="0.3"/>
    <row r="4308" hidden="1" x14ac:dyDescent="0.3"/>
    <row r="4309" hidden="1" x14ac:dyDescent="0.3"/>
    <row r="4310" hidden="1" x14ac:dyDescent="0.3"/>
    <row r="4311" hidden="1" x14ac:dyDescent="0.3"/>
    <row r="4312" hidden="1" x14ac:dyDescent="0.3"/>
    <row r="4313" hidden="1" x14ac:dyDescent="0.3"/>
    <row r="4314" hidden="1" x14ac:dyDescent="0.3"/>
    <row r="4315" hidden="1" x14ac:dyDescent="0.3"/>
    <row r="4316" hidden="1" x14ac:dyDescent="0.3"/>
    <row r="4317" hidden="1" x14ac:dyDescent="0.3"/>
    <row r="4318" hidden="1" x14ac:dyDescent="0.3"/>
    <row r="4319" hidden="1" x14ac:dyDescent="0.3"/>
    <row r="4320" hidden="1" x14ac:dyDescent="0.3"/>
    <row r="4321" hidden="1" x14ac:dyDescent="0.3"/>
    <row r="4322" hidden="1" x14ac:dyDescent="0.3"/>
    <row r="4323" hidden="1" x14ac:dyDescent="0.3"/>
    <row r="4324" hidden="1" x14ac:dyDescent="0.3"/>
    <row r="4325" hidden="1" x14ac:dyDescent="0.3"/>
    <row r="4326" hidden="1" x14ac:dyDescent="0.3"/>
    <row r="4327" hidden="1" x14ac:dyDescent="0.3"/>
    <row r="4328" hidden="1" x14ac:dyDescent="0.3"/>
    <row r="4329" hidden="1" x14ac:dyDescent="0.3"/>
    <row r="4330" hidden="1" x14ac:dyDescent="0.3"/>
    <row r="4331" hidden="1" x14ac:dyDescent="0.3"/>
    <row r="4332" hidden="1" x14ac:dyDescent="0.3"/>
    <row r="4333" hidden="1" x14ac:dyDescent="0.3"/>
    <row r="4334" hidden="1" x14ac:dyDescent="0.3"/>
    <row r="4335" hidden="1" x14ac:dyDescent="0.3"/>
    <row r="4336" hidden="1" x14ac:dyDescent="0.3"/>
    <row r="4337" hidden="1" x14ac:dyDescent="0.3"/>
    <row r="4338" hidden="1" x14ac:dyDescent="0.3"/>
    <row r="4339" hidden="1" x14ac:dyDescent="0.3"/>
    <row r="4340" hidden="1" x14ac:dyDescent="0.3"/>
    <row r="4341" hidden="1" x14ac:dyDescent="0.3"/>
    <row r="4342" hidden="1" x14ac:dyDescent="0.3"/>
    <row r="4343" hidden="1" x14ac:dyDescent="0.3"/>
    <row r="4344" hidden="1" x14ac:dyDescent="0.3"/>
    <row r="4345" hidden="1" x14ac:dyDescent="0.3"/>
    <row r="4346" hidden="1" x14ac:dyDescent="0.3"/>
    <row r="4347" hidden="1" x14ac:dyDescent="0.3"/>
    <row r="4348" hidden="1" x14ac:dyDescent="0.3"/>
    <row r="4349" hidden="1" x14ac:dyDescent="0.3"/>
    <row r="4350" hidden="1" x14ac:dyDescent="0.3"/>
    <row r="4351" hidden="1" x14ac:dyDescent="0.3"/>
    <row r="4352" hidden="1" x14ac:dyDescent="0.3"/>
    <row r="4353" hidden="1" x14ac:dyDescent="0.3"/>
    <row r="4354" hidden="1" x14ac:dyDescent="0.3"/>
    <row r="4355" hidden="1" x14ac:dyDescent="0.3"/>
    <row r="4356" hidden="1" x14ac:dyDescent="0.3"/>
    <row r="4357" hidden="1" x14ac:dyDescent="0.3"/>
    <row r="4358" hidden="1" x14ac:dyDescent="0.3"/>
    <row r="4359" hidden="1" x14ac:dyDescent="0.3"/>
    <row r="4360" hidden="1" x14ac:dyDescent="0.3"/>
    <row r="4361" hidden="1" x14ac:dyDescent="0.3"/>
    <row r="4362" hidden="1" x14ac:dyDescent="0.3"/>
    <row r="4363" hidden="1" x14ac:dyDescent="0.3"/>
    <row r="4364" hidden="1" x14ac:dyDescent="0.3"/>
    <row r="4365" hidden="1" x14ac:dyDescent="0.3"/>
    <row r="4366" hidden="1" x14ac:dyDescent="0.3"/>
    <row r="4367" hidden="1" x14ac:dyDescent="0.3"/>
    <row r="4368" hidden="1" x14ac:dyDescent="0.3"/>
    <row r="4369" hidden="1" x14ac:dyDescent="0.3"/>
    <row r="4370" hidden="1" x14ac:dyDescent="0.3"/>
    <row r="4371" hidden="1" x14ac:dyDescent="0.3"/>
    <row r="4372" hidden="1" x14ac:dyDescent="0.3"/>
    <row r="4373" hidden="1" x14ac:dyDescent="0.3"/>
    <row r="4374" hidden="1" x14ac:dyDescent="0.3"/>
    <row r="4375" hidden="1" x14ac:dyDescent="0.3"/>
    <row r="4376" hidden="1" x14ac:dyDescent="0.3"/>
    <row r="4377" hidden="1" x14ac:dyDescent="0.3"/>
    <row r="4378" hidden="1" x14ac:dyDescent="0.3"/>
    <row r="4379" hidden="1" x14ac:dyDescent="0.3"/>
    <row r="4380" hidden="1" x14ac:dyDescent="0.3"/>
    <row r="4381" hidden="1" x14ac:dyDescent="0.3"/>
    <row r="4382" hidden="1" x14ac:dyDescent="0.3"/>
    <row r="4383" hidden="1" x14ac:dyDescent="0.3"/>
    <row r="4384" hidden="1" x14ac:dyDescent="0.3"/>
    <row r="4385" hidden="1" x14ac:dyDescent="0.3"/>
    <row r="4386" hidden="1" x14ac:dyDescent="0.3"/>
    <row r="4387" hidden="1" x14ac:dyDescent="0.3"/>
    <row r="4388" hidden="1" x14ac:dyDescent="0.3"/>
    <row r="4389" hidden="1" x14ac:dyDescent="0.3"/>
    <row r="4390" hidden="1" x14ac:dyDescent="0.3"/>
    <row r="4391" hidden="1" x14ac:dyDescent="0.3"/>
    <row r="4392" hidden="1" x14ac:dyDescent="0.3"/>
    <row r="4393" hidden="1" x14ac:dyDescent="0.3"/>
    <row r="4394" hidden="1" x14ac:dyDescent="0.3"/>
    <row r="4395" hidden="1" x14ac:dyDescent="0.3"/>
    <row r="4396" hidden="1" x14ac:dyDescent="0.3"/>
    <row r="4397" hidden="1" x14ac:dyDescent="0.3"/>
    <row r="4398" hidden="1" x14ac:dyDescent="0.3"/>
    <row r="4399" hidden="1" x14ac:dyDescent="0.3"/>
    <row r="4400" hidden="1" x14ac:dyDescent="0.3"/>
    <row r="4401" hidden="1" x14ac:dyDescent="0.3"/>
    <row r="4402" hidden="1" x14ac:dyDescent="0.3"/>
    <row r="4403" hidden="1" x14ac:dyDescent="0.3"/>
    <row r="4404" hidden="1" x14ac:dyDescent="0.3"/>
    <row r="4405" hidden="1" x14ac:dyDescent="0.3"/>
    <row r="4406" hidden="1" x14ac:dyDescent="0.3"/>
    <row r="4407" hidden="1" x14ac:dyDescent="0.3"/>
    <row r="4408" hidden="1" x14ac:dyDescent="0.3"/>
    <row r="4409" hidden="1" x14ac:dyDescent="0.3"/>
    <row r="4410" hidden="1" x14ac:dyDescent="0.3"/>
    <row r="4411" hidden="1" x14ac:dyDescent="0.3"/>
    <row r="4412" hidden="1" x14ac:dyDescent="0.3"/>
    <row r="4413" hidden="1" x14ac:dyDescent="0.3"/>
    <row r="4414" hidden="1" x14ac:dyDescent="0.3"/>
    <row r="4415" hidden="1" x14ac:dyDescent="0.3"/>
    <row r="4416" hidden="1" x14ac:dyDescent="0.3"/>
    <row r="4417" hidden="1" x14ac:dyDescent="0.3"/>
    <row r="4418" hidden="1" x14ac:dyDescent="0.3"/>
    <row r="4419" hidden="1" x14ac:dyDescent="0.3"/>
    <row r="4420" hidden="1" x14ac:dyDescent="0.3"/>
    <row r="4421" hidden="1" x14ac:dyDescent="0.3"/>
    <row r="4422" hidden="1" x14ac:dyDescent="0.3"/>
    <row r="4423" hidden="1" x14ac:dyDescent="0.3"/>
    <row r="4424" hidden="1" x14ac:dyDescent="0.3"/>
    <row r="4425" hidden="1" x14ac:dyDescent="0.3"/>
    <row r="4426" hidden="1" x14ac:dyDescent="0.3"/>
    <row r="4427" hidden="1" x14ac:dyDescent="0.3"/>
    <row r="4428" hidden="1" x14ac:dyDescent="0.3"/>
    <row r="4429" hidden="1" x14ac:dyDescent="0.3"/>
    <row r="4430" hidden="1" x14ac:dyDescent="0.3"/>
    <row r="4431" hidden="1" x14ac:dyDescent="0.3"/>
    <row r="4432" hidden="1" x14ac:dyDescent="0.3"/>
    <row r="4433" hidden="1" x14ac:dyDescent="0.3"/>
    <row r="4434" hidden="1" x14ac:dyDescent="0.3"/>
    <row r="4435" hidden="1" x14ac:dyDescent="0.3"/>
    <row r="4436" hidden="1" x14ac:dyDescent="0.3"/>
    <row r="4437" hidden="1" x14ac:dyDescent="0.3"/>
    <row r="4438" hidden="1" x14ac:dyDescent="0.3"/>
    <row r="4439" hidden="1" x14ac:dyDescent="0.3"/>
    <row r="4440" hidden="1" x14ac:dyDescent="0.3"/>
    <row r="4441" hidden="1" x14ac:dyDescent="0.3"/>
    <row r="4442" hidden="1" x14ac:dyDescent="0.3"/>
    <row r="4443" hidden="1" x14ac:dyDescent="0.3"/>
    <row r="4444" hidden="1" x14ac:dyDescent="0.3"/>
    <row r="4445" hidden="1" x14ac:dyDescent="0.3"/>
    <row r="4446" hidden="1" x14ac:dyDescent="0.3"/>
    <row r="4447" hidden="1" x14ac:dyDescent="0.3"/>
    <row r="4448" hidden="1" x14ac:dyDescent="0.3"/>
    <row r="4449" hidden="1" x14ac:dyDescent="0.3"/>
    <row r="4450" hidden="1" x14ac:dyDescent="0.3"/>
    <row r="4451" hidden="1" x14ac:dyDescent="0.3"/>
    <row r="4452" hidden="1" x14ac:dyDescent="0.3"/>
    <row r="4453" hidden="1" x14ac:dyDescent="0.3"/>
    <row r="4454" hidden="1" x14ac:dyDescent="0.3"/>
    <row r="4455" hidden="1" x14ac:dyDescent="0.3"/>
    <row r="4456" hidden="1" x14ac:dyDescent="0.3"/>
    <row r="4457" hidden="1" x14ac:dyDescent="0.3"/>
    <row r="4458" hidden="1" x14ac:dyDescent="0.3"/>
    <row r="4459" hidden="1" x14ac:dyDescent="0.3"/>
    <row r="4460" hidden="1" x14ac:dyDescent="0.3"/>
    <row r="4461" hidden="1" x14ac:dyDescent="0.3"/>
    <row r="4462" hidden="1" x14ac:dyDescent="0.3"/>
    <row r="4463" hidden="1" x14ac:dyDescent="0.3"/>
    <row r="4464" hidden="1" x14ac:dyDescent="0.3"/>
    <row r="4465" hidden="1" x14ac:dyDescent="0.3"/>
    <row r="4466" hidden="1" x14ac:dyDescent="0.3"/>
    <row r="4467" hidden="1" x14ac:dyDescent="0.3"/>
    <row r="4468" hidden="1" x14ac:dyDescent="0.3"/>
    <row r="4469" hidden="1" x14ac:dyDescent="0.3"/>
    <row r="4470" hidden="1" x14ac:dyDescent="0.3"/>
    <row r="4471" hidden="1" x14ac:dyDescent="0.3"/>
    <row r="4472" hidden="1" x14ac:dyDescent="0.3"/>
    <row r="4473" hidden="1" x14ac:dyDescent="0.3"/>
    <row r="4474" hidden="1" x14ac:dyDescent="0.3"/>
    <row r="4475" hidden="1" x14ac:dyDescent="0.3"/>
    <row r="4476" hidden="1" x14ac:dyDescent="0.3"/>
    <row r="4477" hidden="1" x14ac:dyDescent="0.3"/>
    <row r="4478" hidden="1" x14ac:dyDescent="0.3"/>
    <row r="4479" hidden="1" x14ac:dyDescent="0.3"/>
    <row r="4480" hidden="1" x14ac:dyDescent="0.3"/>
    <row r="4481" hidden="1" x14ac:dyDescent="0.3"/>
    <row r="4482" hidden="1" x14ac:dyDescent="0.3"/>
    <row r="4483" hidden="1" x14ac:dyDescent="0.3"/>
    <row r="4484" hidden="1" x14ac:dyDescent="0.3"/>
    <row r="4485" hidden="1" x14ac:dyDescent="0.3"/>
    <row r="4486" hidden="1" x14ac:dyDescent="0.3"/>
    <row r="4487" hidden="1" x14ac:dyDescent="0.3"/>
    <row r="4488" hidden="1" x14ac:dyDescent="0.3"/>
    <row r="4489" hidden="1" x14ac:dyDescent="0.3"/>
    <row r="4490" hidden="1" x14ac:dyDescent="0.3"/>
    <row r="4491" hidden="1" x14ac:dyDescent="0.3"/>
    <row r="4492" hidden="1" x14ac:dyDescent="0.3"/>
    <row r="4493" hidden="1" x14ac:dyDescent="0.3"/>
    <row r="4494" hidden="1" x14ac:dyDescent="0.3"/>
    <row r="4495" hidden="1" x14ac:dyDescent="0.3"/>
    <row r="4496" hidden="1" x14ac:dyDescent="0.3"/>
    <row r="4497" hidden="1" x14ac:dyDescent="0.3"/>
    <row r="4498" hidden="1" x14ac:dyDescent="0.3"/>
    <row r="4499" hidden="1" x14ac:dyDescent="0.3"/>
    <row r="4500" hidden="1" x14ac:dyDescent="0.3"/>
    <row r="4501" hidden="1" x14ac:dyDescent="0.3"/>
    <row r="4502" hidden="1" x14ac:dyDescent="0.3"/>
    <row r="4503" hidden="1" x14ac:dyDescent="0.3"/>
    <row r="4504" hidden="1" x14ac:dyDescent="0.3"/>
    <row r="4505" hidden="1" x14ac:dyDescent="0.3"/>
    <row r="4506" hidden="1" x14ac:dyDescent="0.3"/>
    <row r="4507" hidden="1" x14ac:dyDescent="0.3"/>
    <row r="4508" hidden="1" x14ac:dyDescent="0.3"/>
    <row r="4509" hidden="1" x14ac:dyDescent="0.3"/>
    <row r="4510" hidden="1" x14ac:dyDescent="0.3"/>
    <row r="4511" hidden="1" x14ac:dyDescent="0.3"/>
    <row r="4512" hidden="1" x14ac:dyDescent="0.3"/>
    <row r="4513" hidden="1" x14ac:dyDescent="0.3"/>
    <row r="4514" hidden="1" x14ac:dyDescent="0.3"/>
    <row r="4515" hidden="1" x14ac:dyDescent="0.3"/>
    <row r="4516" hidden="1" x14ac:dyDescent="0.3"/>
    <row r="4517" hidden="1" x14ac:dyDescent="0.3"/>
    <row r="4518" hidden="1" x14ac:dyDescent="0.3"/>
    <row r="4519" hidden="1" x14ac:dyDescent="0.3"/>
    <row r="4520" hidden="1" x14ac:dyDescent="0.3"/>
    <row r="4521" hidden="1" x14ac:dyDescent="0.3"/>
    <row r="4522" hidden="1" x14ac:dyDescent="0.3"/>
    <row r="4523" hidden="1" x14ac:dyDescent="0.3"/>
    <row r="4524" hidden="1" x14ac:dyDescent="0.3"/>
    <row r="4525" hidden="1" x14ac:dyDescent="0.3"/>
    <row r="4526" hidden="1" x14ac:dyDescent="0.3"/>
    <row r="4527" hidden="1" x14ac:dyDescent="0.3"/>
    <row r="4528" hidden="1" x14ac:dyDescent="0.3"/>
    <row r="4529" hidden="1" x14ac:dyDescent="0.3"/>
    <row r="4530" hidden="1" x14ac:dyDescent="0.3"/>
    <row r="4531" hidden="1" x14ac:dyDescent="0.3"/>
    <row r="4532" hidden="1" x14ac:dyDescent="0.3"/>
    <row r="4533" hidden="1" x14ac:dyDescent="0.3"/>
    <row r="4534" hidden="1" x14ac:dyDescent="0.3"/>
    <row r="4535" hidden="1" x14ac:dyDescent="0.3"/>
    <row r="4536" hidden="1" x14ac:dyDescent="0.3"/>
    <row r="4537" hidden="1" x14ac:dyDescent="0.3"/>
    <row r="4538" hidden="1" x14ac:dyDescent="0.3"/>
    <row r="4539" hidden="1" x14ac:dyDescent="0.3"/>
    <row r="4540" hidden="1" x14ac:dyDescent="0.3"/>
    <row r="4541" hidden="1" x14ac:dyDescent="0.3"/>
    <row r="4542" hidden="1" x14ac:dyDescent="0.3"/>
    <row r="4543" hidden="1" x14ac:dyDescent="0.3"/>
    <row r="4544" hidden="1" x14ac:dyDescent="0.3"/>
    <row r="4545" hidden="1" x14ac:dyDescent="0.3"/>
    <row r="4546" hidden="1" x14ac:dyDescent="0.3"/>
    <row r="4547" hidden="1" x14ac:dyDescent="0.3"/>
    <row r="4548" hidden="1" x14ac:dyDescent="0.3"/>
    <row r="4549" hidden="1" x14ac:dyDescent="0.3"/>
    <row r="4550" hidden="1" x14ac:dyDescent="0.3"/>
    <row r="4551" hidden="1" x14ac:dyDescent="0.3"/>
    <row r="4552" hidden="1" x14ac:dyDescent="0.3"/>
    <row r="4553" hidden="1" x14ac:dyDescent="0.3"/>
    <row r="4554" hidden="1" x14ac:dyDescent="0.3"/>
    <row r="4555" hidden="1" x14ac:dyDescent="0.3"/>
    <row r="4556" hidden="1" x14ac:dyDescent="0.3"/>
    <row r="4557" hidden="1" x14ac:dyDescent="0.3"/>
    <row r="4558" hidden="1" x14ac:dyDescent="0.3"/>
    <row r="4559" hidden="1" x14ac:dyDescent="0.3"/>
    <row r="4560" hidden="1" x14ac:dyDescent="0.3"/>
    <row r="4561" hidden="1" x14ac:dyDescent="0.3"/>
    <row r="4562" hidden="1" x14ac:dyDescent="0.3"/>
    <row r="4563" hidden="1" x14ac:dyDescent="0.3"/>
    <row r="4564" hidden="1" x14ac:dyDescent="0.3"/>
    <row r="4565" hidden="1" x14ac:dyDescent="0.3"/>
    <row r="4566" hidden="1" x14ac:dyDescent="0.3"/>
    <row r="4567" hidden="1" x14ac:dyDescent="0.3"/>
    <row r="4568" hidden="1" x14ac:dyDescent="0.3"/>
    <row r="4569" hidden="1" x14ac:dyDescent="0.3"/>
    <row r="4570" hidden="1" x14ac:dyDescent="0.3"/>
    <row r="4571" hidden="1" x14ac:dyDescent="0.3"/>
    <row r="4572" hidden="1" x14ac:dyDescent="0.3"/>
    <row r="4573" hidden="1" x14ac:dyDescent="0.3"/>
    <row r="4574" hidden="1" x14ac:dyDescent="0.3"/>
    <row r="4575" hidden="1" x14ac:dyDescent="0.3"/>
    <row r="4576" hidden="1" x14ac:dyDescent="0.3"/>
    <row r="4577" hidden="1" x14ac:dyDescent="0.3"/>
    <row r="4578" hidden="1" x14ac:dyDescent="0.3"/>
    <row r="4579" hidden="1" x14ac:dyDescent="0.3"/>
    <row r="4580" hidden="1" x14ac:dyDescent="0.3"/>
    <row r="4581" hidden="1" x14ac:dyDescent="0.3"/>
    <row r="4582" hidden="1" x14ac:dyDescent="0.3"/>
    <row r="4583" hidden="1" x14ac:dyDescent="0.3"/>
    <row r="4584" hidden="1" x14ac:dyDescent="0.3"/>
    <row r="4585" hidden="1" x14ac:dyDescent="0.3"/>
    <row r="4586" hidden="1" x14ac:dyDescent="0.3"/>
    <row r="4587" hidden="1" x14ac:dyDescent="0.3"/>
    <row r="4588" hidden="1" x14ac:dyDescent="0.3"/>
    <row r="4589" hidden="1" x14ac:dyDescent="0.3"/>
    <row r="4590" hidden="1" x14ac:dyDescent="0.3"/>
    <row r="4591" hidden="1" x14ac:dyDescent="0.3"/>
    <row r="4592" hidden="1" x14ac:dyDescent="0.3"/>
    <row r="4593" hidden="1" x14ac:dyDescent="0.3"/>
    <row r="4594" hidden="1" x14ac:dyDescent="0.3"/>
    <row r="4595" hidden="1" x14ac:dyDescent="0.3"/>
    <row r="4596" hidden="1" x14ac:dyDescent="0.3"/>
    <row r="4597" hidden="1" x14ac:dyDescent="0.3"/>
    <row r="4598" hidden="1" x14ac:dyDescent="0.3"/>
    <row r="4599" hidden="1" x14ac:dyDescent="0.3"/>
    <row r="4600" hidden="1" x14ac:dyDescent="0.3"/>
    <row r="4601" hidden="1" x14ac:dyDescent="0.3"/>
    <row r="4602" hidden="1" x14ac:dyDescent="0.3"/>
    <row r="4603" hidden="1" x14ac:dyDescent="0.3"/>
    <row r="4604" hidden="1" x14ac:dyDescent="0.3"/>
    <row r="4605" hidden="1" x14ac:dyDescent="0.3"/>
    <row r="4606" hidden="1" x14ac:dyDescent="0.3"/>
    <row r="4607" hidden="1" x14ac:dyDescent="0.3"/>
    <row r="4608" hidden="1" x14ac:dyDescent="0.3"/>
    <row r="4609" hidden="1" x14ac:dyDescent="0.3"/>
    <row r="4610" hidden="1" x14ac:dyDescent="0.3"/>
    <row r="4611" hidden="1" x14ac:dyDescent="0.3"/>
    <row r="4612" hidden="1" x14ac:dyDescent="0.3"/>
    <row r="4613" hidden="1" x14ac:dyDescent="0.3"/>
    <row r="4614" hidden="1" x14ac:dyDescent="0.3"/>
    <row r="4615" hidden="1" x14ac:dyDescent="0.3"/>
    <row r="4616" hidden="1" x14ac:dyDescent="0.3"/>
    <row r="4617" hidden="1" x14ac:dyDescent="0.3"/>
    <row r="4618" hidden="1" x14ac:dyDescent="0.3"/>
    <row r="4619" hidden="1" x14ac:dyDescent="0.3"/>
    <row r="4620" hidden="1" x14ac:dyDescent="0.3"/>
    <row r="4621" hidden="1" x14ac:dyDescent="0.3"/>
    <row r="4622" hidden="1" x14ac:dyDescent="0.3"/>
    <row r="4623" hidden="1" x14ac:dyDescent="0.3"/>
    <row r="4624" hidden="1" x14ac:dyDescent="0.3"/>
    <row r="4625" hidden="1" x14ac:dyDescent="0.3"/>
    <row r="4626" hidden="1" x14ac:dyDescent="0.3"/>
    <row r="4627" hidden="1" x14ac:dyDescent="0.3"/>
    <row r="4628" hidden="1" x14ac:dyDescent="0.3"/>
    <row r="4629" hidden="1" x14ac:dyDescent="0.3"/>
    <row r="4630" hidden="1" x14ac:dyDescent="0.3"/>
    <row r="4631" hidden="1" x14ac:dyDescent="0.3"/>
    <row r="4632" hidden="1" x14ac:dyDescent="0.3"/>
    <row r="4633" hidden="1" x14ac:dyDescent="0.3"/>
    <row r="4634" hidden="1" x14ac:dyDescent="0.3"/>
    <row r="4635" hidden="1" x14ac:dyDescent="0.3"/>
    <row r="4636" hidden="1" x14ac:dyDescent="0.3"/>
    <row r="4637" hidden="1" x14ac:dyDescent="0.3"/>
    <row r="4638" hidden="1" x14ac:dyDescent="0.3"/>
    <row r="4639" hidden="1" x14ac:dyDescent="0.3"/>
    <row r="4640" hidden="1" x14ac:dyDescent="0.3"/>
    <row r="4641" hidden="1" x14ac:dyDescent="0.3"/>
    <row r="4642" hidden="1" x14ac:dyDescent="0.3"/>
    <row r="4643" hidden="1" x14ac:dyDescent="0.3"/>
    <row r="4644" hidden="1" x14ac:dyDescent="0.3"/>
    <row r="4645" hidden="1" x14ac:dyDescent="0.3"/>
    <row r="4646" hidden="1" x14ac:dyDescent="0.3"/>
    <row r="4647" hidden="1" x14ac:dyDescent="0.3"/>
    <row r="4648" hidden="1" x14ac:dyDescent="0.3"/>
    <row r="4649" hidden="1" x14ac:dyDescent="0.3"/>
    <row r="4650" hidden="1" x14ac:dyDescent="0.3"/>
    <row r="4651" hidden="1" x14ac:dyDescent="0.3"/>
    <row r="4652" hidden="1" x14ac:dyDescent="0.3"/>
    <row r="4653" hidden="1" x14ac:dyDescent="0.3"/>
    <row r="4654" hidden="1" x14ac:dyDescent="0.3"/>
    <row r="4655" hidden="1" x14ac:dyDescent="0.3"/>
    <row r="4656" hidden="1" x14ac:dyDescent="0.3"/>
    <row r="4657" hidden="1" x14ac:dyDescent="0.3"/>
    <row r="4658" hidden="1" x14ac:dyDescent="0.3"/>
    <row r="4659" hidden="1" x14ac:dyDescent="0.3"/>
    <row r="4660" hidden="1" x14ac:dyDescent="0.3"/>
    <row r="4661" hidden="1" x14ac:dyDescent="0.3"/>
    <row r="4662" hidden="1" x14ac:dyDescent="0.3"/>
    <row r="4663" hidden="1" x14ac:dyDescent="0.3"/>
    <row r="4664" hidden="1" x14ac:dyDescent="0.3"/>
    <row r="4665" hidden="1" x14ac:dyDescent="0.3"/>
    <row r="4666" hidden="1" x14ac:dyDescent="0.3"/>
    <row r="4667" hidden="1" x14ac:dyDescent="0.3"/>
    <row r="4668" hidden="1" x14ac:dyDescent="0.3"/>
    <row r="4669" hidden="1" x14ac:dyDescent="0.3"/>
    <row r="4670" hidden="1" x14ac:dyDescent="0.3"/>
    <row r="4671" hidden="1" x14ac:dyDescent="0.3"/>
    <row r="4672" hidden="1" x14ac:dyDescent="0.3"/>
    <row r="4673" hidden="1" x14ac:dyDescent="0.3"/>
    <row r="4674" hidden="1" x14ac:dyDescent="0.3"/>
    <row r="4675" hidden="1" x14ac:dyDescent="0.3"/>
    <row r="4676" hidden="1" x14ac:dyDescent="0.3"/>
    <row r="4677" hidden="1" x14ac:dyDescent="0.3"/>
    <row r="4678" hidden="1" x14ac:dyDescent="0.3"/>
    <row r="4679" hidden="1" x14ac:dyDescent="0.3"/>
    <row r="4680" hidden="1" x14ac:dyDescent="0.3"/>
    <row r="4681" hidden="1" x14ac:dyDescent="0.3"/>
    <row r="4682" hidden="1" x14ac:dyDescent="0.3"/>
    <row r="4683" hidden="1" x14ac:dyDescent="0.3"/>
    <row r="4684" hidden="1" x14ac:dyDescent="0.3"/>
    <row r="4685" hidden="1" x14ac:dyDescent="0.3"/>
    <row r="4686" hidden="1" x14ac:dyDescent="0.3"/>
    <row r="4687" hidden="1" x14ac:dyDescent="0.3"/>
    <row r="4688" hidden="1" x14ac:dyDescent="0.3"/>
    <row r="4689" hidden="1" x14ac:dyDescent="0.3"/>
    <row r="4690" hidden="1" x14ac:dyDescent="0.3"/>
    <row r="4691" hidden="1" x14ac:dyDescent="0.3"/>
    <row r="4692" hidden="1" x14ac:dyDescent="0.3"/>
    <row r="4693" hidden="1" x14ac:dyDescent="0.3"/>
    <row r="4694" hidden="1" x14ac:dyDescent="0.3"/>
    <row r="4695" hidden="1" x14ac:dyDescent="0.3"/>
    <row r="4696" hidden="1" x14ac:dyDescent="0.3"/>
    <row r="4697" hidden="1" x14ac:dyDescent="0.3"/>
    <row r="4698" hidden="1" x14ac:dyDescent="0.3"/>
    <row r="4699" hidden="1" x14ac:dyDescent="0.3"/>
    <row r="4700" hidden="1" x14ac:dyDescent="0.3"/>
    <row r="4701" hidden="1" x14ac:dyDescent="0.3"/>
    <row r="4702" hidden="1" x14ac:dyDescent="0.3"/>
    <row r="4703" hidden="1" x14ac:dyDescent="0.3"/>
    <row r="4704" hidden="1" x14ac:dyDescent="0.3"/>
    <row r="4705" hidden="1" x14ac:dyDescent="0.3"/>
    <row r="4706" hidden="1" x14ac:dyDescent="0.3"/>
    <row r="4707" hidden="1" x14ac:dyDescent="0.3"/>
    <row r="4708" hidden="1" x14ac:dyDescent="0.3"/>
    <row r="4709" hidden="1" x14ac:dyDescent="0.3"/>
    <row r="4710" hidden="1" x14ac:dyDescent="0.3"/>
    <row r="4711" hidden="1" x14ac:dyDescent="0.3"/>
    <row r="4712" hidden="1" x14ac:dyDescent="0.3"/>
    <row r="4713" hidden="1" x14ac:dyDescent="0.3"/>
    <row r="4714" hidden="1" x14ac:dyDescent="0.3"/>
    <row r="4715" hidden="1" x14ac:dyDescent="0.3"/>
    <row r="4716" hidden="1" x14ac:dyDescent="0.3"/>
    <row r="4717" hidden="1" x14ac:dyDescent="0.3"/>
    <row r="4718" hidden="1" x14ac:dyDescent="0.3"/>
    <row r="4719" hidden="1" x14ac:dyDescent="0.3"/>
    <row r="4720" hidden="1" x14ac:dyDescent="0.3"/>
    <row r="4721" hidden="1" x14ac:dyDescent="0.3"/>
    <row r="4722" hidden="1" x14ac:dyDescent="0.3"/>
    <row r="4723" hidden="1" x14ac:dyDescent="0.3"/>
    <row r="4724" hidden="1" x14ac:dyDescent="0.3"/>
    <row r="4725" hidden="1" x14ac:dyDescent="0.3"/>
    <row r="4726" hidden="1" x14ac:dyDescent="0.3"/>
    <row r="4727" hidden="1" x14ac:dyDescent="0.3"/>
    <row r="4728" hidden="1" x14ac:dyDescent="0.3"/>
    <row r="4729" hidden="1" x14ac:dyDescent="0.3"/>
    <row r="4730" hidden="1" x14ac:dyDescent="0.3"/>
    <row r="4731" hidden="1" x14ac:dyDescent="0.3"/>
    <row r="4732" hidden="1" x14ac:dyDescent="0.3"/>
    <row r="4733" hidden="1" x14ac:dyDescent="0.3"/>
    <row r="4734" hidden="1" x14ac:dyDescent="0.3"/>
    <row r="4735" hidden="1" x14ac:dyDescent="0.3"/>
    <row r="4736" hidden="1" x14ac:dyDescent="0.3"/>
    <row r="4737" hidden="1" x14ac:dyDescent="0.3"/>
    <row r="4738" hidden="1" x14ac:dyDescent="0.3"/>
    <row r="4739" hidden="1" x14ac:dyDescent="0.3"/>
    <row r="4740" hidden="1" x14ac:dyDescent="0.3"/>
    <row r="4741" hidden="1" x14ac:dyDescent="0.3"/>
    <row r="4742" hidden="1" x14ac:dyDescent="0.3"/>
    <row r="4743" hidden="1" x14ac:dyDescent="0.3"/>
    <row r="4744" hidden="1" x14ac:dyDescent="0.3"/>
    <row r="4745" hidden="1" x14ac:dyDescent="0.3"/>
    <row r="4746" hidden="1" x14ac:dyDescent="0.3"/>
    <row r="4747" hidden="1" x14ac:dyDescent="0.3"/>
    <row r="4748" hidden="1" x14ac:dyDescent="0.3"/>
    <row r="4749" hidden="1" x14ac:dyDescent="0.3"/>
    <row r="4750" hidden="1" x14ac:dyDescent="0.3"/>
    <row r="4751" hidden="1" x14ac:dyDescent="0.3"/>
    <row r="4752" hidden="1" x14ac:dyDescent="0.3"/>
    <row r="4753" hidden="1" x14ac:dyDescent="0.3"/>
    <row r="4754" hidden="1" x14ac:dyDescent="0.3"/>
    <row r="4755" hidden="1" x14ac:dyDescent="0.3"/>
    <row r="4756" hidden="1" x14ac:dyDescent="0.3"/>
    <row r="4757" hidden="1" x14ac:dyDescent="0.3"/>
    <row r="4758" hidden="1" x14ac:dyDescent="0.3"/>
    <row r="4759" hidden="1" x14ac:dyDescent="0.3"/>
    <row r="4760" hidden="1" x14ac:dyDescent="0.3"/>
    <row r="4761" hidden="1" x14ac:dyDescent="0.3"/>
    <row r="4762" hidden="1" x14ac:dyDescent="0.3"/>
    <row r="4763" hidden="1" x14ac:dyDescent="0.3"/>
    <row r="4764" hidden="1" x14ac:dyDescent="0.3"/>
    <row r="4765" hidden="1" x14ac:dyDescent="0.3"/>
    <row r="4766" hidden="1" x14ac:dyDescent="0.3"/>
    <row r="4767" hidden="1" x14ac:dyDescent="0.3"/>
    <row r="4768" hidden="1" x14ac:dyDescent="0.3"/>
    <row r="4769" hidden="1" x14ac:dyDescent="0.3"/>
    <row r="4770" hidden="1" x14ac:dyDescent="0.3"/>
    <row r="4771" hidden="1" x14ac:dyDescent="0.3"/>
    <row r="4772" hidden="1" x14ac:dyDescent="0.3"/>
    <row r="4773" hidden="1" x14ac:dyDescent="0.3"/>
    <row r="4774" hidden="1" x14ac:dyDescent="0.3"/>
    <row r="4775" hidden="1" x14ac:dyDescent="0.3"/>
    <row r="4776" hidden="1" x14ac:dyDescent="0.3"/>
    <row r="4777" hidden="1" x14ac:dyDescent="0.3"/>
    <row r="4778" hidden="1" x14ac:dyDescent="0.3"/>
    <row r="4779" hidden="1" x14ac:dyDescent="0.3"/>
    <row r="4780" hidden="1" x14ac:dyDescent="0.3"/>
    <row r="4781" hidden="1" x14ac:dyDescent="0.3"/>
    <row r="4782" hidden="1" x14ac:dyDescent="0.3"/>
    <row r="4783" hidden="1" x14ac:dyDescent="0.3"/>
    <row r="4784" hidden="1" x14ac:dyDescent="0.3"/>
    <row r="4785" hidden="1" x14ac:dyDescent="0.3"/>
    <row r="4786" hidden="1" x14ac:dyDescent="0.3"/>
    <row r="4787" hidden="1" x14ac:dyDescent="0.3"/>
    <row r="4788" hidden="1" x14ac:dyDescent="0.3"/>
    <row r="4789" hidden="1" x14ac:dyDescent="0.3"/>
    <row r="4790" hidden="1" x14ac:dyDescent="0.3"/>
    <row r="4791" hidden="1" x14ac:dyDescent="0.3"/>
    <row r="4792" hidden="1" x14ac:dyDescent="0.3"/>
    <row r="4793" hidden="1" x14ac:dyDescent="0.3"/>
    <row r="4794" hidden="1" x14ac:dyDescent="0.3"/>
    <row r="4795" hidden="1" x14ac:dyDescent="0.3"/>
    <row r="4796" hidden="1" x14ac:dyDescent="0.3"/>
    <row r="4797" hidden="1" x14ac:dyDescent="0.3"/>
    <row r="4798" hidden="1" x14ac:dyDescent="0.3"/>
    <row r="4799" hidden="1" x14ac:dyDescent="0.3"/>
    <row r="4800" hidden="1" x14ac:dyDescent="0.3"/>
    <row r="4801" hidden="1" x14ac:dyDescent="0.3"/>
    <row r="4802" hidden="1" x14ac:dyDescent="0.3"/>
    <row r="4803" hidden="1" x14ac:dyDescent="0.3"/>
    <row r="4804" hidden="1" x14ac:dyDescent="0.3"/>
    <row r="4805" hidden="1" x14ac:dyDescent="0.3"/>
    <row r="4806" hidden="1" x14ac:dyDescent="0.3"/>
    <row r="4807" hidden="1" x14ac:dyDescent="0.3"/>
    <row r="4808" hidden="1" x14ac:dyDescent="0.3"/>
    <row r="4809" hidden="1" x14ac:dyDescent="0.3"/>
    <row r="4810" hidden="1" x14ac:dyDescent="0.3"/>
    <row r="4811" hidden="1" x14ac:dyDescent="0.3"/>
    <row r="4812" hidden="1" x14ac:dyDescent="0.3"/>
    <row r="4813" hidden="1" x14ac:dyDescent="0.3"/>
    <row r="4814" hidden="1" x14ac:dyDescent="0.3"/>
    <row r="4815" hidden="1" x14ac:dyDescent="0.3"/>
    <row r="4816" hidden="1" x14ac:dyDescent="0.3"/>
    <row r="4817" hidden="1" x14ac:dyDescent="0.3"/>
    <row r="4818" hidden="1" x14ac:dyDescent="0.3"/>
    <row r="4819" hidden="1" x14ac:dyDescent="0.3"/>
    <row r="4820" hidden="1" x14ac:dyDescent="0.3"/>
    <row r="4821" hidden="1" x14ac:dyDescent="0.3"/>
    <row r="4822" hidden="1" x14ac:dyDescent="0.3"/>
    <row r="4823" hidden="1" x14ac:dyDescent="0.3"/>
    <row r="4824" hidden="1" x14ac:dyDescent="0.3"/>
    <row r="4825" hidden="1" x14ac:dyDescent="0.3"/>
    <row r="4826" hidden="1" x14ac:dyDescent="0.3"/>
    <row r="4827" hidden="1" x14ac:dyDescent="0.3"/>
    <row r="4828" hidden="1" x14ac:dyDescent="0.3"/>
    <row r="4829" hidden="1" x14ac:dyDescent="0.3"/>
    <row r="4830" hidden="1" x14ac:dyDescent="0.3"/>
    <row r="4831" hidden="1" x14ac:dyDescent="0.3"/>
    <row r="4832" hidden="1" x14ac:dyDescent="0.3"/>
    <row r="4833" hidden="1" x14ac:dyDescent="0.3"/>
    <row r="4834" hidden="1" x14ac:dyDescent="0.3"/>
    <row r="4835" hidden="1" x14ac:dyDescent="0.3"/>
    <row r="4836" hidden="1" x14ac:dyDescent="0.3"/>
    <row r="4837" hidden="1" x14ac:dyDescent="0.3"/>
    <row r="4838" hidden="1" x14ac:dyDescent="0.3"/>
    <row r="4839" hidden="1" x14ac:dyDescent="0.3"/>
    <row r="4840" hidden="1" x14ac:dyDescent="0.3"/>
    <row r="4841" hidden="1" x14ac:dyDescent="0.3"/>
    <row r="4842" hidden="1" x14ac:dyDescent="0.3"/>
    <row r="4843" hidden="1" x14ac:dyDescent="0.3"/>
    <row r="4844" hidden="1" x14ac:dyDescent="0.3"/>
    <row r="4845" hidden="1" x14ac:dyDescent="0.3"/>
    <row r="4846" hidden="1" x14ac:dyDescent="0.3"/>
    <row r="4847" hidden="1" x14ac:dyDescent="0.3"/>
    <row r="4848" hidden="1" x14ac:dyDescent="0.3"/>
    <row r="4849" hidden="1" x14ac:dyDescent="0.3"/>
    <row r="4850" hidden="1" x14ac:dyDescent="0.3"/>
    <row r="4851" hidden="1" x14ac:dyDescent="0.3"/>
    <row r="4852" hidden="1" x14ac:dyDescent="0.3"/>
    <row r="4853" hidden="1" x14ac:dyDescent="0.3"/>
    <row r="4854" hidden="1" x14ac:dyDescent="0.3"/>
    <row r="4855" hidden="1" x14ac:dyDescent="0.3"/>
    <row r="4856" hidden="1" x14ac:dyDescent="0.3"/>
    <row r="4857" hidden="1" x14ac:dyDescent="0.3"/>
    <row r="4858" hidden="1" x14ac:dyDescent="0.3"/>
    <row r="4859" hidden="1" x14ac:dyDescent="0.3"/>
    <row r="4860" hidden="1" x14ac:dyDescent="0.3"/>
    <row r="4861" hidden="1" x14ac:dyDescent="0.3"/>
    <row r="4862" hidden="1" x14ac:dyDescent="0.3"/>
    <row r="4863" hidden="1" x14ac:dyDescent="0.3"/>
    <row r="4864" hidden="1" x14ac:dyDescent="0.3"/>
    <row r="4865" hidden="1" x14ac:dyDescent="0.3"/>
    <row r="4866" hidden="1" x14ac:dyDescent="0.3"/>
    <row r="4867" hidden="1" x14ac:dyDescent="0.3"/>
    <row r="4868" hidden="1" x14ac:dyDescent="0.3"/>
    <row r="4869" hidden="1" x14ac:dyDescent="0.3"/>
    <row r="4870" hidden="1" x14ac:dyDescent="0.3"/>
    <row r="4871" hidden="1" x14ac:dyDescent="0.3"/>
    <row r="4872" hidden="1" x14ac:dyDescent="0.3"/>
    <row r="4873" hidden="1" x14ac:dyDescent="0.3"/>
    <row r="4874" hidden="1" x14ac:dyDescent="0.3"/>
    <row r="4875" hidden="1" x14ac:dyDescent="0.3"/>
    <row r="4876" hidden="1" x14ac:dyDescent="0.3"/>
    <row r="4877" hidden="1" x14ac:dyDescent="0.3"/>
    <row r="4878" hidden="1" x14ac:dyDescent="0.3"/>
    <row r="4879" hidden="1" x14ac:dyDescent="0.3"/>
    <row r="4880" hidden="1" x14ac:dyDescent="0.3"/>
    <row r="4881" hidden="1" x14ac:dyDescent="0.3"/>
    <row r="4882" hidden="1" x14ac:dyDescent="0.3"/>
    <row r="4883" hidden="1" x14ac:dyDescent="0.3"/>
    <row r="4884" hidden="1" x14ac:dyDescent="0.3"/>
    <row r="4885" hidden="1" x14ac:dyDescent="0.3"/>
    <row r="4886" hidden="1" x14ac:dyDescent="0.3"/>
    <row r="4887" hidden="1" x14ac:dyDescent="0.3"/>
    <row r="4888" hidden="1" x14ac:dyDescent="0.3"/>
    <row r="4889" hidden="1" x14ac:dyDescent="0.3"/>
    <row r="4890" hidden="1" x14ac:dyDescent="0.3"/>
    <row r="4891" hidden="1" x14ac:dyDescent="0.3"/>
    <row r="4892" hidden="1" x14ac:dyDescent="0.3"/>
    <row r="4893" hidden="1" x14ac:dyDescent="0.3"/>
    <row r="4894" hidden="1" x14ac:dyDescent="0.3"/>
    <row r="4895" hidden="1" x14ac:dyDescent="0.3"/>
    <row r="4896" hidden="1" x14ac:dyDescent="0.3"/>
    <row r="4897" hidden="1" x14ac:dyDescent="0.3"/>
    <row r="4898" hidden="1" x14ac:dyDescent="0.3"/>
    <row r="4899" hidden="1" x14ac:dyDescent="0.3"/>
    <row r="4900" hidden="1" x14ac:dyDescent="0.3"/>
    <row r="4901" hidden="1" x14ac:dyDescent="0.3"/>
    <row r="4902" hidden="1" x14ac:dyDescent="0.3"/>
    <row r="4903" hidden="1" x14ac:dyDescent="0.3"/>
    <row r="4904" hidden="1" x14ac:dyDescent="0.3"/>
    <row r="4905" hidden="1" x14ac:dyDescent="0.3"/>
    <row r="4906" hidden="1" x14ac:dyDescent="0.3"/>
    <row r="4907" hidden="1" x14ac:dyDescent="0.3"/>
    <row r="4908" hidden="1" x14ac:dyDescent="0.3"/>
    <row r="4909" hidden="1" x14ac:dyDescent="0.3"/>
    <row r="4910" hidden="1" x14ac:dyDescent="0.3"/>
    <row r="4911" hidden="1" x14ac:dyDescent="0.3"/>
    <row r="4912" hidden="1" x14ac:dyDescent="0.3"/>
    <row r="4913" hidden="1" x14ac:dyDescent="0.3"/>
    <row r="4914" hidden="1" x14ac:dyDescent="0.3"/>
    <row r="4915" hidden="1" x14ac:dyDescent="0.3"/>
    <row r="4916" hidden="1" x14ac:dyDescent="0.3"/>
    <row r="4917" hidden="1" x14ac:dyDescent="0.3"/>
    <row r="4918" hidden="1" x14ac:dyDescent="0.3"/>
    <row r="4919" hidden="1" x14ac:dyDescent="0.3"/>
    <row r="4920" hidden="1" x14ac:dyDescent="0.3"/>
    <row r="4921" hidden="1" x14ac:dyDescent="0.3"/>
    <row r="4922" hidden="1" x14ac:dyDescent="0.3"/>
    <row r="4923" hidden="1" x14ac:dyDescent="0.3"/>
    <row r="4924" hidden="1" x14ac:dyDescent="0.3"/>
    <row r="4925" hidden="1" x14ac:dyDescent="0.3"/>
    <row r="4926" hidden="1" x14ac:dyDescent="0.3"/>
    <row r="4927" hidden="1" x14ac:dyDescent="0.3"/>
    <row r="4928" hidden="1" x14ac:dyDescent="0.3"/>
    <row r="4929" hidden="1" x14ac:dyDescent="0.3"/>
    <row r="4930" hidden="1" x14ac:dyDescent="0.3"/>
    <row r="4931" hidden="1" x14ac:dyDescent="0.3"/>
    <row r="4932" hidden="1" x14ac:dyDescent="0.3"/>
    <row r="4933" hidden="1" x14ac:dyDescent="0.3"/>
    <row r="4934" hidden="1" x14ac:dyDescent="0.3"/>
    <row r="4935" hidden="1" x14ac:dyDescent="0.3"/>
    <row r="4936" hidden="1" x14ac:dyDescent="0.3"/>
    <row r="4937" hidden="1" x14ac:dyDescent="0.3"/>
    <row r="4938" hidden="1" x14ac:dyDescent="0.3"/>
    <row r="4939" hidden="1" x14ac:dyDescent="0.3"/>
    <row r="4940" hidden="1" x14ac:dyDescent="0.3"/>
    <row r="4941" hidden="1" x14ac:dyDescent="0.3"/>
    <row r="4942" hidden="1" x14ac:dyDescent="0.3"/>
    <row r="4943" hidden="1" x14ac:dyDescent="0.3"/>
    <row r="4944" hidden="1" x14ac:dyDescent="0.3"/>
    <row r="4945" hidden="1" x14ac:dyDescent="0.3"/>
    <row r="4946" hidden="1" x14ac:dyDescent="0.3"/>
    <row r="4947" hidden="1" x14ac:dyDescent="0.3"/>
    <row r="4948" hidden="1" x14ac:dyDescent="0.3"/>
    <row r="4949" hidden="1" x14ac:dyDescent="0.3"/>
    <row r="4950" hidden="1" x14ac:dyDescent="0.3"/>
    <row r="4951" hidden="1" x14ac:dyDescent="0.3"/>
    <row r="4952" hidden="1" x14ac:dyDescent="0.3"/>
    <row r="4953" hidden="1" x14ac:dyDescent="0.3"/>
    <row r="4954" hidden="1" x14ac:dyDescent="0.3"/>
    <row r="4955" hidden="1" x14ac:dyDescent="0.3"/>
    <row r="4956" hidden="1" x14ac:dyDescent="0.3"/>
    <row r="4957" hidden="1" x14ac:dyDescent="0.3"/>
    <row r="4958" hidden="1" x14ac:dyDescent="0.3"/>
    <row r="4959" hidden="1" x14ac:dyDescent="0.3"/>
    <row r="4960" hidden="1" x14ac:dyDescent="0.3"/>
    <row r="4961" hidden="1" x14ac:dyDescent="0.3"/>
    <row r="4962" hidden="1" x14ac:dyDescent="0.3"/>
    <row r="4963" hidden="1" x14ac:dyDescent="0.3"/>
    <row r="4964" hidden="1" x14ac:dyDescent="0.3"/>
    <row r="4965" hidden="1" x14ac:dyDescent="0.3"/>
    <row r="4966" hidden="1" x14ac:dyDescent="0.3"/>
    <row r="4967" hidden="1" x14ac:dyDescent="0.3"/>
    <row r="4968" hidden="1" x14ac:dyDescent="0.3"/>
    <row r="4969" hidden="1" x14ac:dyDescent="0.3"/>
    <row r="4970" hidden="1" x14ac:dyDescent="0.3"/>
    <row r="4971" hidden="1" x14ac:dyDescent="0.3"/>
    <row r="4972" hidden="1" x14ac:dyDescent="0.3"/>
    <row r="4973" hidden="1" x14ac:dyDescent="0.3"/>
    <row r="4974" hidden="1" x14ac:dyDescent="0.3"/>
    <row r="4975" hidden="1" x14ac:dyDescent="0.3"/>
    <row r="4976" hidden="1" x14ac:dyDescent="0.3"/>
    <row r="4977" hidden="1" x14ac:dyDescent="0.3"/>
    <row r="4978" hidden="1" x14ac:dyDescent="0.3"/>
    <row r="4979" hidden="1" x14ac:dyDescent="0.3"/>
    <row r="4980" hidden="1" x14ac:dyDescent="0.3"/>
    <row r="4981" hidden="1" x14ac:dyDescent="0.3"/>
    <row r="4982" hidden="1" x14ac:dyDescent="0.3"/>
    <row r="4983" hidden="1" x14ac:dyDescent="0.3"/>
    <row r="4984" hidden="1" x14ac:dyDescent="0.3"/>
    <row r="4985" hidden="1" x14ac:dyDescent="0.3"/>
    <row r="4986" hidden="1" x14ac:dyDescent="0.3"/>
    <row r="4987" hidden="1" x14ac:dyDescent="0.3"/>
    <row r="4988" hidden="1" x14ac:dyDescent="0.3"/>
    <row r="4989" hidden="1" x14ac:dyDescent="0.3"/>
    <row r="4990" hidden="1" x14ac:dyDescent="0.3"/>
    <row r="4991" hidden="1" x14ac:dyDescent="0.3"/>
    <row r="4992" hidden="1" x14ac:dyDescent="0.3"/>
    <row r="4993" hidden="1" x14ac:dyDescent="0.3"/>
    <row r="4994" hidden="1" x14ac:dyDescent="0.3"/>
    <row r="4995" hidden="1" x14ac:dyDescent="0.3"/>
    <row r="4996" hidden="1" x14ac:dyDescent="0.3"/>
    <row r="4997" hidden="1" x14ac:dyDescent="0.3"/>
    <row r="4998" hidden="1" x14ac:dyDescent="0.3"/>
    <row r="4999" hidden="1" x14ac:dyDescent="0.3"/>
  </sheetData>
  <mergeCells count="3">
    <mergeCell ref="A1:E1"/>
    <mergeCell ref="A2:E2"/>
    <mergeCell ref="A10:E10"/>
  </mergeCells>
  <conditionalFormatting sqref="D6">
    <cfRule type="expression" dxfId="53" priority="1">
      <formula>$D$6&lt;=$D$7</formula>
    </cfRule>
    <cfRule type="expression" dxfId="52" priority="2">
      <formula>$D$6&gt;$D$7</formula>
    </cfRule>
  </conditionalFormatting>
  <conditionalFormatting sqref="D8">
    <cfRule type="expression" dxfId="51" priority="3">
      <formula>$D$8="Erfüllt"</formula>
    </cfRule>
    <cfRule type="expression" dxfId="50" priority="4">
      <formula>$D$8="Nicht erfüllt"</formula>
    </cfRule>
  </conditionalFormatting>
  <dataValidations count="1">
    <dataValidation type="list" showInputMessage="1" showErrorMessage="1" errorTitle="Ungültiger Status" error="Bitte Bestanden oder Fehlgeschlagen auswählen." promptTitle="Teststatus" prompt="Bestanden oder Fehlgeschlagen auswählen." sqref="E12:E21" xr:uid="{158AE90C-2DCD-47A7-B80A-6D6ACA60E1E4}">
      <formula1>"Bestanden,Fehlgeschlagen"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4C364-97CA-463D-9885-D54DB2BE14FD}">
  <dimension ref="A1:D5000"/>
  <sheetViews>
    <sheetView showGridLines="0" workbookViewId="0">
      <selection activeCell="A11" activeCellId="1" sqref="A10:XFD10 A11:XFD11"/>
    </sheetView>
  </sheetViews>
  <sheetFormatPr baseColWidth="10" defaultRowHeight="14.4" x14ac:dyDescent="0.3"/>
  <cols>
    <col min="1" max="1" width="20" customWidth="1"/>
    <col min="2" max="2" width="17.109375" customWidth="1"/>
    <col min="3" max="3" width="21.88671875" customWidth="1"/>
    <col min="4" max="4" width="59" customWidth="1"/>
    <col min="5" max="50" width="0" hidden="1" customWidth="1"/>
  </cols>
  <sheetData>
    <row r="1" spans="1:4" ht="32.1" customHeight="1" x14ac:dyDescent="0.45">
      <c r="A1" s="4" t="s">
        <v>76</v>
      </c>
      <c r="B1" s="4"/>
      <c r="C1" s="4"/>
      <c r="D1" s="4"/>
    </row>
    <row r="2" spans="1:4" x14ac:dyDescent="0.3">
      <c r="A2" s="5" t="s">
        <v>1</v>
      </c>
      <c r="B2" s="5"/>
      <c r="C2" s="5"/>
      <c r="D2" s="5"/>
    </row>
    <row r="3" spans="1:4" x14ac:dyDescent="0.3">
      <c r="A3" s="31" t="s">
        <v>77</v>
      </c>
      <c r="B3" s="31"/>
      <c r="C3" s="31"/>
      <c r="D3" s="58">
        <f>COUNTA(tblVerfuegbarkeit[Datum])</f>
        <v>10</v>
      </c>
    </row>
    <row r="4" spans="1:4" x14ac:dyDescent="0.3">
      <c r="A4" s="31" t="s">
        <v>78</v>
      </c>
      <c r="B4" s="31"/>
      <c r="C4" s="31"/>
      <c r="D4" s="58">
        <f>COUNTIF(tblVerfuegbarkeit[TerminPilot erreichbar],"Ja")</f>
        <v>10</v>
      </c>
    </row>
    <row r="5" spans="1:4" x14ac:dyDescent="0.3">
      <c r="A5" s="31" t="s">
        <v>79</v>
      </c>
      <c r="B5" s="31"/>
      <c r="C5" s="31"/>
      <c r="D5" s="58">
        <f>COUNTIF(tblVerfuegbarkeit[TerminPilot erreichbar],"Nein")</f>
        <v>0</v>
      </c>
    </row>
    <row r="6" spans="1:4" x14ac:dyDescent="0.3">
      <c r="A6" s="31" t="s">
        <v>103</v>
      </c>
      <c r="B6" s="31"/>
      <c r="C6" s="31"/>
      <c r="D6" s="59">
        <f>IFERROR(D4/D3,0)</f>
        <v>1</v>
      </c>
    </row>
    <row r="7" spans="1:4" x14ac:dyDescent="0.3">
      <c r="A7" s="31" t="s">
        <v>6</v>
      </c>
      <c r="B7" s="31"/>
      <c r="C7" s="31"/>
      <c r="D7" s="59">
        <v>0.99</v>
      </c>
    </row>
    <row r="8" spans="1:4" x14ac:dyDescent="0.3">
      <c r="A8" s="56" t="s">
        <v>7</v>
      </c>
      <c r="B8" s="56"/>
      <c r="C8" s="56"/>
      <c r="D8" s="57" t="str">
        <f>IF(D6&gt;=D7,"Erfüllt","Nicht erfüllt")</f>
        <v>Erfüllt</v>
      </c>
    </row>
    <row r="9" spans="1:4" x14ac:dyDescent="0.3">
      <c r="A9" s="15"/>
      <c r="B9" s="15"/>
      <c r="C9" s="15"/>
      <c r="D9" s="15"/>
    </row>
    <row r="10" spans="1:4" x14ac:dyDescent="0.3">
      <c r="A10" s="5" t="s">
        <v>80</v>
      </c>
      <c r="B10" s="5"/>
      <c r="C10" s="5"/>
      <c r="D10" s="5"/>
    </row>
    <row r="11" spans="1:4" ht="33.9" customHeight="1" thickBot="1" x14ac:dyDescent="0.35">
      <c r="A11" s="51" t="s">
        <v>81</v>
      </c>
      <c r="B11" s="52" t="s">
        <v>82</v>
      </c>
      <c r="C11" s="52" t="s">
        <v>151</v>
      </c>
      <c r="D11" s="53" t="s">
        <v>83</v>
      </c>
    </row>
    <row r="12" spans="1:4" ht="15.6" thickTop="1" thickBot="1" x14ac:dyDescent="0.35">
      <c r="A12" s="64">
        <v>46284</v>
      </c>
      <c r="B12" s="65">
        <v>0.33333333329999998</v>
      </c>
      <c r="C12" s="18" t="s">
        <v>84</v>
      </c>
      <c r="D12" s="66" t="s">
        <v>152</v>
      </c>
    </row>
    <row r="13" spans="1:4" ht="15.6" thickTop="1" thickBot="1" x14ac:dyDescent="0.35">
      <c r="A13" s="64">
        <v>46284</v>
      </c>
      <c r="B13" s="65">
        <v>0.375</v>
      </c>
      <c r="C13" s="18" t="s">
        <v>84</v>
      </c>
      <c r="D13" s="66" t="s">
        <v>153</v>
      </c>
    </row>
    <row r="14" spans="1:4" ht="15.6" thickTop="1" thickBot="1" x14ac:dyDescent="0.35">
      <c r="A14" s="64">
        <v>46284</v>
      </c>
      <c r="B14" s="65">
        <v>0.41666666670000002</v>
      </c>
      <c r="C14" s="18" t="s">
        <v>84</v>
      </c>
      <c r="D14" s="66" t="s">
        <v>154</v>
      </c>
    </row>
    <row r="15" spans="1:4" ht="15.6" thickTop="1" thickBot="1" x14ac:dyDescent="0.35">
      <c r="A15" s="64">
        <v>46284</v>
      </c>
      <c r="B15" s="65">
        <v>0.45833333329999998</v>
      </c>
      <c r="C15" s="18" t="s">
        <v>84</v>
      </c>
      <c r="D15" s="66" t="s">
        <v>155</v>
      </c>
    </row>
    <row r="16" spans="1:4" ht="15.6" thickTop="1" thickBot="1" x14ac:dyDescent="0.35">
      <c r="A16" s="64">
        <v>46284</v>
      </c>
      <c r="B16" s="65">
        <v>0.5</v>
      </c>
      <c r="C16" s="18" t="s">
        <v>84</v>
      </c>
      <c r="D16" s="66" t="s">
        <v>156</v>
      </c>
    </row>
    <row r="17" spans="1:4" ht="15.6" thickTop="1" thickBot="1" x14ac:dyDescent="0.35">
      <c r="A17" s="64">
        <v>46284</v>
      </c>
      <c r="B17" s="65">
        <v>0.54166666669999997</v>
      </c>
      <c r="C17" s="18" t="s">
        <v>84</v>
      </c>
      <c r="D17" s="66" t="s">
        <v>157</v>
      </c>
    </row>
    <row r="18" spans="1:4" ht="15.6" thickTop="1" thickBot="1" x14ac:dyDescent="0.35">
      <c r="A18" s="64">
        <v>46284</v>
      </c>
      <c r="B18" s="65">
        <v>0.58333333330000003</v>
      </c>
      <c r="C18" s="18" t="s">
        <v>84</v>
      </c>
      <c r="D18" s="66" t="s">
        <v>158</v>
      </c>
    </row>
    <row r="19" spans="1:4" ht="15.6" thickTop="1" thickBot="1" x14ac:dyDescent="0.35">
      <c r="A19" s="64">
        <v>46284</v>
      </c>
      <c r="B19" s="65">
        <v>0.625</v>
      </c>
      <c r="C19" s="18" t="s">
        <v>84</v>
      </c>
      <c r="D19" s="66" t="s">
        <v>159</v>
      </c>
    </row>
    <row r="20" spans="1:4" ht="15.6" thickTop="1" thickBot="1" x14ac:dyDescent="0.35">
      <c r="A20" s="64">
        <v>46284</v>
      </c>
      <c r="B20" s="65">
        <v>0.66666666669999997</v>
      </c>
      <c r="C20" s="18" t="s">
        <v>84</v>
      </c>
      <c r="D20" s="66" t="s">
        <v>160</v>
      </c>
    </row>
    <row r="21" spans="1:4" ht="15" thickTop="1" x14ac:dyDescent="0.3">
      <c r="A21" s="67">
        <v>46284</v>
      </c>
      <c r="B21" s="68">
        <v>0.70833333330000003</v>
      </c>
      <c r="C21" s="21" t="s">
        <v>84</v>
      </c>
      <c r="D21" s="69" t="s">
        <v>161</v>
      </c>
    </row>
    <row r="22" spans="1:4" x14ac:dyDescent="0.3">
      <c r="A22" s="16"/>
      <c r="B22" s="16"/>
      <c r="C22" s="16"/>
      <c r="D22" s="16"/>
    </row>
    <row r="23" spans="1:4" ht="24" customHeight="1" x14ac:dyDescent="0.3">
      <c r="A23" s="70" t="s">
        <v>162</v>
      </c>
      <c r="B23" s="70"/>
      <c r="C23" s="70"/>
      <c r="D23" s="70"/>
    </row>
    <row r="24" spans="1:4" ht="24" customHeight="1" x14ac:dyDescent="0.3">
      <c r="A24" s="70"/>
      <c r="B24" s="70"/>
      <c r="C24" s="70"/>
      <c r="D24" s="70"/>
    </row>
    <row r="25" spans="1:4" hidden="1" x14ac:dyDescent="0.3"/>
    <row r="26" spans="1:4" hidden="1" x14ac:dyDescent="0.3"/>
    <row r="27" spans="1:4" hidden="1" x14ac:dyDescent="0.3"/>
    <row r="28" spans="1:4" hidden="1" x14ac:dyDescent="0.3"/>
    <row r="29" spans="1:4" hidden="1" x14ac:dyDescent="0.3"/>
    <row r="30" spans="1:4" hidden="1" x14ac:dyDescent="0.3"/>
    <row r="31" spans="1:4" hidden="1" x14ac:dyDescent="0.3"/>
    <row r="32" spans="1:4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2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  <row r="380" hidden="1" x14ac:dyDescent="0.3"/>
    <row r="381" hidden="1" x14ac:dyDescent="0.3"/>
    <row r="382" hidden="1" x14ac:dyDescent="0.3"/>
    <row r="383" hidden="1" x14ac:dyDescent="0.3"/>
    <row r="384" hidden="1" x14ac:dyDescent="0.3"/>
    <row r="385" hidden="1" x14ac:dyDescent="0.3"/>
    <row r="386" hidden="1" x14ac:dyDescent="0.3"/>
    <row r="387" hidden="1" x14ac:dyDescent="0.3"/>
    <row r="388" hidden="1" x14ac:dyDescent="0.3"/>
    <row r="389" hidden="1" x14ac:dyDescent="0.3"/>
    <row r="390" hidden="1" x14ac:dyDescent="0.3"/>
    <row r="391" hidden="1" x14ac:dyDescent="0.3"/>
    <row r="392" hidden="1" x14ac:dyDescent="0.3"/>
    <row r="393" hidden="1" x14ac:dyDescent="0.3"/>
    <row r="394" hidden="1" x14ac:dyDescent="0.3"/>
    <row r="395" hidden="1" x14ac:dyDescent="0.3"/>
    <row r="396" hidden="1" x14ac:dyDescent="0.3"/>
    <row r="397" hidden="1" x14ac:dyDescent="0.3"/>
    <row r="398" hidden="1" x14ac:dyDescent="0.3"/>
    <row r="399" hidden="1" x14ac:dyDescent="0.3"/>
    <row r="400" hidden="1" x14ac:dyDescent="0.3"/>
    <row r="401" hidden="1" x14ac:dyDescent="0.3"/>
    <row r="402" hidden="1" x14ac:dyDescent="0.3"/>
    <row r="403" hidden="1" x14ac:dyDescent="0.3"/>
    <row r="404" hidden="1" x14ac:dyDescent="0.3"/>
    <row r="405" hidden="1" x14ac:dyDescent="0.3"/>
    <row r="406" hidden="1" x14ac:dyDescent="0.3"/>
    <row r="407" hidden="1" x14ac:dyDescent="0.3"/>
    <row r="408" hidden="1" x14ac:dyDescent="0.3"/>
    <row r="409" hidden="1" x14ac:dyDescent="0.3"/>
    <row r="410" hidden="1" x14ac:dyDescent="0.3"/>
    <row r="411" hidden="1" x14ac:dyDescent="0.3"/>
    <row r="412" hidden="1" x14ac:dyDescent="0.3"/>
    <row r="413" hidden="1" x14ac:dyDescent="0.3"/>
    <row r="414" hidden="1" x14ac:dyDescent="0.3"/>
    <row r="415" hidden="1" x14ac:dyDescent="0.3"/>
    <row r="416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  <row r="427" hidden="1" x14ac:dyDescent="0.3"/>
    <row r="428" hidden="1" x14ac:dyDescent="0.3"/>
    <row r="429" hidden="1" x14ac:dyDescent="0.3"/>
    <row r="430" hidden="1" x14ac:dyDescent="0.3"/>
    <row r="431" hidden="1" x14ac:dyDescent="0.3"/>
    <row r="432" hidden="1" x14ac:dyDescent="0.3"/>
    <row r="433" hidden="1" x14ac:dyDescent="0.3"/>
    <row r="434" hidden="1" x14ac:dyDescent="0.3"/>
    <row r="435" hidden="1" x14ac:dyDescent="0.3"/>
    <row r="436" hidden="1" x14ac:dyDescent="0.3"/>
    <row r="437" hidden="1" x14ac:dyDescent="0.3"/>
    <row r="438" hidden="1" x14ac:dyDescent="0.3"/>
    <row r="439" hidden="1" x14ac:dyDescent="0.3"/>
    <row r="440" hidden="1" x14ac:dyDescent="0.3"/>
    <row r="441" hidden="1" x14ac:dyDescent="0.3"/>
    <row r="442" hidden="1" x14ac:dyDescent="0.3"/>
    <row r="443" hidden="1" x14ac:dyDescent="0.3"/>
    <row r="444" hidden="1" x14ac:dyDescent="0.3"/>
    <row r="445" hidden="1" x14ac:dyDescent="0.3"/>
    <row r="446" hidden="1" x14ac:dyDescent="0.3"/>
    <row r="447" hidden="1" x14ac:dyDescent="0.3"/>
    <row r="448" hidden="1" x14ac:dyDescent="0.3"/>
    <row r="449" hidden="1" x14ac:dyDescent="0.3"/>
    <row r="450" hidden="1" x14ac:dyDescent="0.3"/>
    <row r="451" hidden="1" x14ac:dyDescent="0.3"/>
    <row r="452" hidden="1" x14ac:dyDescent="0.3"/>
    <row r="453" hidden="1" x14ac:dyDescent="0.3"/>
    <row r="454" hidden="1" x14ac:dyDescent="0.3"/>
    <row r="455" hidden="1" x14ac:dyDescent="0.3"/>
    <row r="456" hidden="1" x14ac:dyDescent="0.3"/>
    <row r="457" hidden="1" x14ac:dyDescent="0.3"/>
    <row r="458" hidden="1" x14ac:dyDescent="0.3"/>
    <row r="459" hidden="1" x14ac:dyDescent="0.3"/>
    <row r="460" hidden="1" x14ac:dyDescent="0.3"/>
    <row r="461" hidden="1" x14ac:dyDescent="0.3"/>
    <row r="462" hidden="1" x14ac:dyDescent="0.3"/>
    <row r="463" hidden="1" x14ac:dyDescent="0.3"/>
    <row r="464" hidden="1" x14ac:dyDescent="0.3"/>
    <row r="465" hidden="1" x14ac:dyDescent="0.3"/>
    <row r="466" hidden="1" x14ac:dyDescent="0.3"/>
    <row r="467" hidden="1" x14ac:dyDescent="0.3"/>
    <row r="468" hidden="1" x14ac:dyDescent="0.3"/>
    <row r="469" hidden="1" x14ac:dyDescent="0.3"/>
    <row r="470" hidden="1" x14ac:dyDescent="0.3"/>
    <row r="471" hidden="1" x14ac:dyDescent="0.3"/>
    <row r="472" hidden="1" x14ac:dyDescent="0.3"/>
    <row r="473" hidden="1" x14ac:dyDescent="0.3"/>
    <row r="474" hidden="1" x14ac:dyDescent="0.3"/>
    <row r="475" hidden="1" x14ac:dyDescent="0.3"/>
    <row r="476" hidden="1" x14ac:dyDescent="0.3"/>
    <row r="477" hidden="1" x14ac:dyDescent="0.3"/>
    <row r="478" hidden="1" x14ac:dyDescent="0.3"/>
    <row r="479" hidden="1" x14ac:dyDescent="0.3"/>
    <row r="480" hidden="1" x14ac:dyDescent="0.3"/>
    <row r="481" hidden="1" x14ac:dyDescent="0.3"/>
    <row r="482" hidden="1" x14ac:dyDescent="0.3"/>
    <row r="483" hidden="1" x14ac:dyDescent="0.3"/>
    <row r="484" hidden="1" x14ac:dyDescent="0.3"/>
    <row r="485" hidden="1" x14ac:dyDescent="0.3"/>
    <row r="486" hidden="1" x14ac:dyDescent="0.3"/>
    <row r="487" hidden="1" x14ac:dyDescent="0.3"/>
    <row r="488" hidden="1" x14ac:dyDescent="0.3"/>
    <row r="489" hidden="1" x14ac:dyDescent="0.3"/>
    <row r="490" hidden="1" x14ac:dyDescent="0.3"/>
    <row r="491" hidden="1" x14ac:dyDescent="0.3"/>
    <row r="492" hidden="1" x14ac:dyDescent="0.3"/>
    <row r="493" hidden="1" x14ac:dyDescent="0.3"/>
    <row r="494" hidden="1" x14ac:dyDescent="0.3"/>
    <row r="495" hidden="1" x14ac:dyDescent="0.3"/>
    <row r="496" hidden="1" x14ac:dyDescent="0.3"/>
    <row r="497" hidden="1" x14ac:dyDescent="0.3"/>
    <row r="498" hidden="1" x14ac:dyDescent="0.3"/>
    <row r="499" hidden="1" x14ac:dyDescent="0.3"/>
    <row r="500" hidden="1" x14ac:dyDescent="0.3"/>
    <row r="501" hidden="1" x14ac:dyDescent="0.3"/>
    <row r="502" hidden="1" x14ac:dyDescent="0.3"/>
    <row r="503" hidden="1" x14ac:dyDescent="0.3"/>
    <row r="504" hidden="1" x14ac:dyDescent="0.3"/>
    <row r="505" hidden="1" x14ac:dyDescent="0.3"/>
    <row r="506" hidden="1" x14ac:dyDescent="0.3"/>
    <row r="507" hidden="1" x14ac:dyDescent="0.3"/>
    <row r="508" hidden="1" x14ac:dyDescent="0.3"/>
    <row r="509" hidden="1" x14ac:dyDescent="0.3"/>
    <row r="510" hidden="1" x14ac:dyDescent="0.3"/>
    <row r="511" hidden="1" x14ac:dyDescent="0.3"/>
    <row r="51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  <row r="553" hidden="1" x14ac:dyDescent="0.3"/>
    <row r="554" hidden="1" x14ac:dyDescent="0.3"/>
    <row r="555" hidden="1" x14ac:dyDescent="0.3"/>
    <row r="556" hidden="1" x14ac:dyDescent="0.3"/>
    <row r="557" hidden="1" x14ac:dyDescent="0.3"/>
    <row r="558" hidden="1" x14ac:dyDescent="0.3"/>
    <row r="559" hidden="1" x14ac:dyDescent="0.3"/>
    <row r="560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2" hidden="1" x14ac:dyDescent="0.3"/>
    <row r="583" hidden="1" x14ac:dyDescent="0.3"/>
    <row r="584" hidden="1" x14ac:dyDescent="0.3"/>
    <row r="585" hidden="1" x14ac:dyDescent="0.3"/>
    <row r="586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2" hidden="1" x14ac:dyDescent="0.3"/>
    <row r="593" hidden="1" x14ac:dyDescent="0.3"/>
    <row r="594" hidden="1" x14ac:dyDescent="0.3"/>
    <row r="595" hidden="1" x14ac:dyDescent="0.3"/>
    <row r="596" hidden="1" x14ac:dyDescent="0.3"/>
    <row r="597" hidden="1" x14ac:dyDescent="0.3"/>
    <row r="598" hidden="1" x14ac:dyDescent="0.3"/>
    <row r="599" hidden="1" x14ac:dyDescent="0.3"/>
    <row r="600" hidden="1" x14ac:dyDescent="0.3"/>
    <row r="601" hidden="1" x14ac:dyDescent="0.3"/>
    <row r="602" hidden="1" x14ac:dyDescent="0.3"/>
    <row r="603" hidden="1" x14ac:dyDescent="0.3"/>
    <row r="604" hidden="1" x14ac:dyDescent="0.3"/>
    <row r="605" hidden="1" x14ac:dyDescent="0.3"/>
    <row r="606" hidden="1" x14ac:dyDescent="0.3"/>
    <row r="607" hidden="1" x14ac:dyDescent="0.3"/>
    <row r="608" hidden="1" x14ac:dyDescent="0.3"/>
    <row r="609" hidden="1" x14ac:dyDescent="0.3"/>
    <row r="610" hidden="1" x14ac:dyDescent="0.3"/>
    <row r="611" hidden="1" x14ac:dyDescent="0.3"/>
    <row r="612" hidden="1" x14ac:dyDescent="0.3"/>
    <row r="613" hidden="1" x14ac:dyDescent="0.3"/>
    <row r="614" hidden="1" x14ac:dyDescent="0.3"/>
    <row r="615" hidden="1" x14ac:dyDescent="0.3"/>
    <row r="616" hidden="1" x14ac:dyDescent="0.3"/>
    <row r="617" hidden="1" x14ac:dyDescent="0.3"/>
    <row r="618" hidden="1" x14ac:dyDescent="0.3"/>
    <row r="619" hidden="1" x14ac:dyDescent="0.3"/>
    <row r="620" hidden="1" x14ac:dyDescent="0.3"/>
    <row r="621" hidden="1" x14ac:dyDescent="0.3"/>
    <row r="622" hidden="1" x14ac:dyDescent="0.3"/>
    <row r="623" hidden="1" x14ac:dyDescent="0.3"/>
    <row r="624" hidden="1" x14ac:dyDescent="0.3"/>
    <row r="625" hidden="1" x14ac:dyDescent="0.3"/>
    <row r="626" hidden="1" x14ac:dyDescent="0.3"/>
    <row r="627" hidden="1" x14ac:dyDescent="0.3"/>
    <row r="628" hidden="1" x14ac:dyDescent="0.3"/>
    <row r="629" hidden="1" x14ac:dyDescent="0.3"/>
    <row r="630" hidden="1" x14ac:dyDescent="0.3"/>
    <row r="631" hidden="1" x14ac:dyDescent="0.3"/>
    <row r="632" hidden="1" x14ac:dyDescent="0.3"/>
    <row r="633" hidden="1" x14ac:dyDescent="0.3"/>
    <row r="634" hidden="1" x14ac:dyDescent="0.3"/>
    <row r="635" hidden="1" x14ac:dyDescent="0.3"/>
    <row r="636" hidden="1" x14ac:dyDescent="0.3"/>
    <row r="637" hidden="1" x14ac:dyDescent="0.3"/>
    <row r="638" hidden="1" x14ac:dyDescent="0.3"/>
    <row r="639" hidden="1" x14ac:dyDescent="0.3"/>
    <row r="640" hidden="1" x14ac:dyDescent="0.3"/>
    <row r="641" hidden="1" x14ac:dyDescent="0.3"/>
    <row r="642" hidden="1" x14ac:dyDescent="0.3"/>
    <row r="643" hidden="1" x14ac:dyDescent="0.3"/>
    <row r="644" hidden="1" x14ac:dyDescent="0.3"/>
    <row r="645" hidden="1" x14ac:dyDescent="0.3"/>
    <row r="646" hidden="1" x14ac:dyDescent="0.3"/>
    <row r="647" hidden="1" x14ac:dyDescent="0.3"/>
    <row r="648" hidden="1" x14ac:dyDescent="0.3"/>
    <row r="649" hidden="1" x14ac:dyDescent="0.3"/>
    <row r="650" hidden="1" x14ac:dyDescent="0.3"/>
    <row r="651" hidden="1" x14ac:dyDescent="0.3"/>
    <row r="652" hidden="1" x14ac:dyDescent="0.3"/>
    <row r="653" hidden="1" x14ac:dyDescent="0.3"/>
    <row r="654" hidden="1" x14ac:dyDescent="0.3"/>
    <row r="655" hidden="1" x14ac:dyDescent="0.3"/>
    <row r="656" hidden="1" x14ac:dyDescent="0.3"/>
    <row r="657" hidden="1" x14ac:dyDescent="0.3"/>
    <row r="658" hidden="1" x14ac:dyDescent="0.3"/>
    <row r="659" hidden="1" x14ac:dyDescent="0.3"/>
    <row r="660" hidden="1" x14ac:dyDescent="0.3"/>
    <row r="661" hidden="1" x14ac:dyDescent="0.3"/>
    <row r="662" hidden="1" x14ac:dyDescent="0.3"/>
    <row r="663" hidden="1" x14ac:dyDescent="0.3"/>
    <row r="664" hidden="1" x14ac:dyDescent="0.3"/>
    <row r="665" hidden="1" x14ac:dyDescent="0.3"/>
    <row r="666" hidden="1" x14ac:dyDescent="0.3"/>
    <row r="667" hidden="1" x14ac:dyDescent="0.3"/>
    <row r="668" hidden="1" x14ac:dyDescent="0.3"/>
    <row r="669" hidden="1" x14ac:dyDescent="0.3"/>
    <row r="670" hidden="1" x14ac:dyDescent="0.3"/>
    <row r="671" hidden="1" x14ac:dyDescent="0.3"/>
    <row r="672" hidden="1" x14ac:dyDescent="0.3"/>
    <row r="673" hidden="1" x14ac:dyDescent="0.3"/>
    <row r="674" hidden="1" x14ac:dyDescent="0.3"/>
    <row r="675" hidden="1" x14ac:dyDescent="0.3"/>
    <row r="676" hidden="1" x14ac:dyDescent="0.3"/>
    <row r="677" hidden="1" x14ac:dyDescent="0.3"/>
    <row r="678" hidden="1" x14ac:dyDescent="0.3"/>
    <row r="679" hidden="1" x14ac:dyDescent="0.3"/>
    <row r="680" hidden="1" x14ac:dyDescent="0.3"/>
    <row r="681" hidden="1" x14ac:dyDescent="0.3"/>
    <row r="682" hidden="1" x14ac:dyDescent="0.3"/>
    <row r="683" hidden="1" x14ac:dyDescent="0.3"/>
    <row r="684" hidden="1" x14ac:dyDescent="0.3"/>
    <row r="685" hidden="1" x14ac:dyDescent="0.3"/>
    <row r="686" hidden="1" x14ac:dyDescent="0.3"/>
    <row r="687" hidden="1" x14ac:dyDescent="0.3"/>
    <row r="688" hidden="1" x14ac:dyDescent="0.3"/>
    <row r="689" hidden="1" x14ac:dyDescent="0.3"/>
    <row r="690" hidden="1" x14ac:dyDescent="0.3"/>
    <row r="691" hidden="1" x14ac:dyDescent="0.3"/>
    <row r="692" hidden="1" x14ac:dyDescent="0.3"/>
    <row r="693" hidden="1" x14ac:dyDescent="0.3"/>
    <row r="694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5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1" hidden="1" x14ac:dyDescent="0.3"/>
    <row r="712" hidden="1" x14ac:dyDescent="0.3"/>
    <row r="713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hidden="1" x14ac:dyDescent="0.3"/>
    <row r="722" hidden="1" x14ac:dyDescent="0.3"/>
    <row r="723" hidden="1" x14ac:dyDescent="0.3"/>
    <row r="724" hidden="1" x14ac:dyDescent="0.3"/>
    <row r="725" hidden="1" x14ac:dyDescent="0.3"/>
    <row r="726" hidden="1" x14ac:dyDescent="0.3"/>
    <row r="727" hidden="1" x14ac:dyDescent="0.3"/>
    <row r="728" hidden="1" x14ac:dyDescent="0.3"/>
    <row r="729" hidden="1" x14ac:dyDescent="0.3"/>
    <row r="730" hidden="1" x14ac:dyDescent="0.3"/>
    <row r="731" hidden="1" x14ac:dyDescent="0.3"/>
    <row r="732" hidden="1" x14ac:dyDescent="0.3"/>
    <row r="733" hidden="1" x14ac:dyDescent="0.3"/>
    <row r="734" hidden="1" x14ac:dyDescent="0.3"/>
    <row r="735" hidden="1" x14ac:dyDescent="0.3"/>
    <row r="736" hidden="1" x14ac:dyDescent="0.3"/>
    <row r="737" hidden="1" x14ac:dyDescent="0.3"/>
    <row r="738" hidden="1" x14ac:dyDescent="0.3"/>
    <row r="739" hidden="1" x14ac:dyDescent="0.3"/>
    <row r="740" hidden="1" x14ac:dyDescent="0.3"/>
    <row r="741" hidden="1" x14ac:dyDescent="0.3"/>
    <row r="742" hidden="1" x14ac:dyDescent="0.3"/>
    <row r="743" hidden="1" x14ac:dyDescent="0.3"/>
    <row r="744" hidden="1" x14ac:dyDescent="0.3"/>
    <row r="745" hidden="1" x14ac:dyDescent="0.3"/>
    <row r="746" hidden="1" x14ac:dyDescent="0.3"/>
    <row r="747" hidden="1" x14ac:dyDescent="0.3"/>
    <row r="748" hidden="1" x14ac:dyDescent="0.3"/>
    <row r="749" hidden="1" x14ac:dyDescent="0.3"/>
    <row r="750" hidden="1" x14ac:dyDescent="0.3"/>
    <row r="751" hidden="1" x14ac:dyDescent="0.3"/>
    <row r="752" hidden="1" x14ac:dyDescent="0.3"/>
    <row r="753" hidden="1" x14ac:dyDescent="0.3"/>
    <row r="754" hidden="1" x14ac:dyDescent="0.3"/>
    <row r="755" hidden="1" x14ac:dyDescent="0.3"/>
    <row r="756" hidden="1" x14ac:dyDescent="0.3"/>
    <row r="757" hidden="1" x14ac:dyDescent="0.3"/>
    <row r="758" hidden="1" x14ac:dyDescent="0.3"/>
    <row r="759" hidden="1" x14ac:dyDescent="0.3"/>
    <row r="760" hidden="1" x14ac:dyDescent="0.3"/>
    <row r="761" hidden="1" x14ac:dyDescent="0.3"/>
    <row r="762" hidden="1" x14ac:dyDescent="0.3"/>
    <row r="763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2" hidden="1" x14ac:dyDescent="0.3"/>
    <row r="773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79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5" hidden="1" x14ac:dyDescent="0.3"/>
    <row r="786" hidden="1" x14ac:dyDescent="0.3"/>
    <row r="787" hidden="1" x14ac:dyDescent="0.3"/>
    <row r="788" hidden="1" x14ac:dyDescent="0.3"/>
    <row r="789" hidden="1" x14ac:dyDescent="0.3"/>
    <row r="790" hidden="1" x14ac:dyDescent="0.3"/>
    <row r="791" hidden="1" x14ac:dyDescent="0.3"/>
    <row r="792" hidden="1" x14ac:dyDescent="0.3"/>
    <row r="793" hidden="1" x14ac:dyDescent="0.3"/>
    <row r="794" hidden="1" x14ac:dyDescent="0.3"/>
    <row r="795" hidden="1" x14ac:dyDescent="0.3"/>
    <row r="796" hidden="1" x14ac:dyDescent="0.3"/>
    <row r="797" hidden="1" x14ac:dyDescent="0.3"/>
    <row r="798" hidden="1" x14ac:dyDescent="0.3"/>
    <row r="799" hidden="1" x14ac:dyDescent="0.3"/>
    <row r="800" hidden="1" x14ac:dyDescent="0.3"/>
    <row r="801" hidden="1" x14ac:dyDescent="0.3"/>
    <row r="802" hidden="1" x14ac:dyDescent="0.3"/>
    <row r="803" hidden="1" x14ac:dyDescent="0.3"/>
    <row r="804" hidden="1" x14ac:dyDescent="0.3"/>
    <row r="805" hidden="1" x14ac:dyDescent="0.3"/>
    <row r="806" hidden="1" x14ac:dyDescent="0.3"/>
    <row r="807" hidden="1" x14ac:dyDescent="0.3"/>
    <row r="808" hidden="1" x14ac:dyDescent="0.3"/>
    <row r="809" hidden="1" x14ac:dyDescent="0.3"/>
    <row r="810" hidden="1" x14ac:dyDescent="0.3"/>
    <row r="811" hidden="1" x14ac:dyDescent="0.3"/>
    <row r="812" hidden="1" x14ac:dyDescent="0.3"/>
    <row r="813" hidden="1" x14ac:dyDescent="0.3"/>
    <row r="814" hidden="1" x14ac:dyDescent="0.3"/>
    <row r="815" hidden="1" x14ac:dyDescent="0.3"/>
    <row r="816" hidden="1" x14ac:dyDescent="0.3"/>
    <row r="817" hidden="1" x14ac:dyDescent="0.3"/>
    <row r="818" hidden="1" x14ac:dyDescent="0.3"/>
    <row r="819" hidden="1" x14ac:dyDescent="0.3"/>
    <row r="820" hidden="1" x14ac:dyDescent="0.3"/>
    <row r="821" hidden="1" x14ac:dyDescent="0.3"/>
    <row r="822" hidden="1" x14ac:dyDescent="0.3"/>
    <row r="823" hidden="1" x14ac:dyDescent="0.3"/>
    <row r="824" hidden="1" x14ac:dyDescent="0.3"/>
    <row r="825" hidden="1" x14ac:dyDescent="0.3"/>
    <row r="826" hidden="1" x14ac:dyDescent="0.3"/>
    <row r="827" hidden="1" x14ac:dyDescent="0.3"/>
    <row r="828" hidden="1" x14ac:dyDescent="0.3"/>
    <row r="829" hidden="1" x14ac:dyDescent="0.3"/>
    <row r="830" hidden="1" x14ac:dyDescent="0.3"/>
    <row r="831" hidden="1" x14ac:dyDescent="0.3"/>
    <row r="832" hidden="1" x14ac:dyDescent="0.3"/>
    <row r="833" hidden="1" x14ac:dyDescent="0.3"/>
    <row r="834" hidden="1" x14ac:dyDescent="0.3"/>
    <row r="835" hidden="1" x14ac:dyDescent="0.3"/>
    <row r="836" hidden="1" x14ac:dyDescent="0.3"/>
    <row r="837" hidden="1" x14ac:dyDescent="0.3"/>
    <row r="838" hidden="1" x14ac:dyDescent="0.3"/>
    <row r="839" hidden="1" x14ac:dyDescent="0.3"/>
    <row r="840" hidden="1" x14ac:dyDescent="0.3"/>
    <row r="841" hidden="1" x14ac:dyDescent="0.3"/>
    <row r="842" hidden="1" x14ac:dyDescent="0.3"/>
    <row r="843" hidden="1" x14ac:dyDescent="0.3"/>
    <row r="844" hidden="1" x14ac:dyDescent="0.3"/>
    <row r="845" hidden="1" x14ac:dyDescent="0.3"/>
    <row r="846" hidden="1" x14ac:dyDescent="0.3"/>
    <row r="847" hidden="1" x14ac:dyDescent="0.3"/>
    <row r="848" hidden="1" x14ac:dyDescent="0.3"/>
    <row r="849" hidden="1" x14ac:dyDescent="0.3"/>
    <row r="850" hidden="1" x14ac:dyDescent="0.3"/>
    <row r="851" hidden="1" x14ac:dyDescent="0.3"/>
    <row r="852" hidden="1" x14ac:dyDescent="0.3"/>
    <row r="853" hidden="1" x14ac:dyDescent="0.3"/>
    <row r="854" hidden="1" x14ac:dyDescent="0.3"/>
    <row r="855" hidden="1" x14ac:dyDescent="0.3"/>
    <row r="856" hidden="1" x14ac:dyDescent="0.3"/>
    <row r="857" hidden="1" x14ac:dyDescent="0.3"/>
    <row r="858" hidden="1" x14ac:dyDescent="0.3"/>
    <row r="859" hidden="1" x14ac:dyDescent="0.3"/>
    <row r="860" hidden="1" x14ac:dyDescent="0.3"/>
    <row r="861" hidden="1" x14ac:dyDescent="0.3"/>
    <row r="862" hidden="1" x14ac:dyDescent="0.3"/>
    <row r="863" hidden="1" x14ac:dyDescent="0.3"/>
    <row r="864" hidden="1" x14ac:dyDescent="0.3"/>
    <row r="865" hidden="1" x14ac:dyDescent="0.3"/>
    <row r="866" hidden="1" x14ac:dyDescent="0.3"/>
    <row r="867" hidden="1" x14ac:dyDescent="0.3"/>
    <row r="868" hidden="1" x14ac:dyDescent="0.3"/>
    <row r="869" hidden="1" x14ac:dyDescent="0.3"/>
    <row r="870" hidden="1" x14ac:dyDescent="0.3"/>
    <row r="871" hidden="1" x14ac:dyDescent="0.3"/>
    <row r="872" hidden="1" x14ac:dyDescent="0.3"/>
    <row r="873" hidden="1" x14ac:dyDescent="0.3"/>
    <row r="874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3" hidden="1" x14ac:dyDescent="0.3"/>
    <row r="884" hidden="1" x14ac:dyDescent="0.3"/>
    <row r="885" hidden="1" x14ac:dyDescent="0.3"/>
    <row r="886" hidden="1" x14ac:dyDescent="0.3"/>
    <row r="887" hidden="1" x14ac:dyDescent="0.3"/>
    <row r="888" hidden="1" x14ac:dyDescent="0.3"/>
    <row r="889" hidden="1" x14ac:dyDescent="0.3"/>
    <row r="890" hidden="1" x14ac:dyDescent="0.3"/>
    <row r="891" hidden="1" x14ac:dyDescent="0.3"/>
    <row r="892" hidden="1" x14ac:dyDescent="0.3"/>
    <row r="893" hidden="1" x14ac:dyDescent="0.3"/>
    <row r="894" hidden="1" x14ac:dyDescent="0.3"/>
    <row r="895" hidden="1" x14ac:dyDescent="0.3"/>
    <row r="896" hidden="1" x14ac:dyDescent="0.3"/>
    <row r="897" hidden="1" x14ac:dyDescent="0.3"/>
    <row r="898" hidden="1" x14ac:dyDescent="0.3"/>
    <row r="899" hidden="1" x14ac:dyDescent="0.3"/>
    <row r="900" hidden="1" x14ac:dyDescent="0.3"/>
    <row r="901" hidden="1" x14ac:dyDescent="0.3"/>
    <row r="902" hidden="1" x14ac:dyDescent="0.3"/>
    <row r="903" hidden="1" x14ac:dyDescent="0.3"/>
    <row r="904" hidden="1" x14ac:dyDescent="0.3"/>
    <row r="905" hidden="1" x14ac:dyDescent="0.3"/>
    <row r="906" hidden="1" x14ac:dyDescent="0.3"/>
    <row r="907" hidden="1" x14ac:dyDescent="0.3"/>
    <row r="908" hidden="1" x14ac:dyDescent="0.3"/>
    <row r="909" hidden="1" x14ac:dyDescent="0.3"/>
    <row r="910" hidden="1" x14ac:dyDescent="0.3"/>
    <row r="911" hidden="1" x14ac:dyDescent="0.3"/>
    <row r="912" hidden="1" x14ac:dyDescent="0.3"/>
    <row r="913" hidden="1" x14ac:dyDescent="0.3"/>
    <row r="914" hidden="1" x14ac:dyDescent="0.3"/>
    <row r="915" hidden="1" x14ac:dyDescent="0.3"/>
    <row r="916" hidden="1" x14ac:dyDescent="0.3"/>
    <row r="917" hidden="1" x14ac:dyDescent="0.3"/>
    <row r="918" hidden="1" x14ac:dyDescent="0.3"/>
    <row r="919" hidden="1" x14ac:dyDescent="0.3"/>
    <row r="920" hidden="1" x14ac:dyDescent="0.3"/>
    <row r="921" hidden="1" x14ac:dyDescent="0.3"/>
    <row r="922" hidden="1" x14ac:dyDescent="0.3"/>
    <row r="923" hidden="1" x14ac:dyDescent="0.3"/>
    <row r="924" hidden="1" x14ac:dyDescent="0.3"/>
    <row r="925" hidden="1" x14ac:dyDescent="0.3"/>
    <row r="926" hidden="1" x14ac:dyDescent="0.3"/>
    <row r="927" hidden="1" x14ac:dyDescent="0.3"/>
    <row r="928" hidden="1" x14ac:dyDescent="0.3"/>
    <row r="929" hidden="1" x14ac:dyDescent="0.3"/>
    <row r="930" hidden="1" x14ac:dyDescent="0.3"/>
    <row r="931" hidden="1" x14ac:dyDescent="0.3"/>
    <row r="932" hidden="1" x14ac:dyDescent="0.3"/>
    <row r="933" hidden="1" x14ac:dyDescent="0.3"/>
    <row r="934" hidden="1" x14ac:dyDescent="0.3"/>
    <row r="935" hidden="1" x14ac:dyDescent="0.3"/>
    <row r="936" hidden="1" x14ac:dyDescent="0.3"/>
    <row r="937" hidden="1" x14ac:dyDescent="0.3"/>
    <row r="938" hidden="1" x14ac:dyDescent="0.3"/>
    <row r="939" hidden="1" x14ac:dyDescent="0.3"/>
    <row r="940" hidden="1" x14ac:dyDescent="0.3"/>
    <row r="941" hidden="1" x14ac:dyDescent="0.3"/>
    <row r="942" hidden="1" x14ac:dyDescent="0.3"/>
    <row r="943" hidden="1" x14ac:dyDescent="0.3"/>
    <row r="944" hidden="1" x14ac:dyDescent="0.3"/>
    <row r="945" hidden="1" x14ac:dyDescent="0.3"/>
    <row r="946" hidden="1" x14ac:dyDescent="0.3"/>
    <row r="947" hidden="1" x14ac:dyDescent="0.3"/>
    <row r="948" hidden="1" x14ac:dyDescent="0.3"/>
    <row r="949" hidden="1" x14ac:dyDescent="0.3"/>
    <row r="950" hidden="1" x14ac:dyDescent="0.3"/>
    <row r="951" hidden="1" x14ac:dyDescent="0.3"/>
    <row r="952" hidden="1" x14ac:dyDescent="0.3"/>
    <row r="953" hidden="1" x14ac:dyDescent="0.3"/>
    <row r="954" hidden="1" x14ac:dyDescent="0.3"/>
    <row r="955" hidden="1" x14ac:dyDescent="0.3"/>
    <row r="956" hidden="1" x14ac:dyDescent="0.3"/>
    <row r="957" hidden="1" x14ac:dyDescent="0.3"/>
    <row r="958" hidden="1" x14ac:dyDescent="0.3"/>
    <row r="959" hidden="1" x14ac:dyDescent="0.3"/>
    <row r="960" hidden="1" x14ac:dyDescent="0.3"/>
    <row r="961" hidden="1" x14ac:dyDescent="0.3"/>
    <row r="962" hidden="1" x14ac:dyDescent="0.3"/>
    <row r="963" hidden="1" x14ac:dyDescent="0.3"/>
    <row r="964" hidden="1" x14ac:dyDescent="0.3"/>
    <row r="965" hidden="1" x14ac:dyDescent="0.3"/>
    <row r="966" hidden="1" x14ac:dyDescent="0.3"/>
    <row r="967" hidden="1" x14ac:dyDescent="0.3"/>
    <row r="968" hidden="1" x14ac:dyDescent="0.3"/>
    <row r="969" hidden="1" x14ac:dyDescent="0.3"/>
    <row r="970" hidden="1" x14ac:dyDescent="0.3"/>
    <row r="971" hidden="1" x14ac:dyDescent="0.3"/>
    <row r="972" hidden="1" x14ac:dyDescent="0.3"/>
    <row r="973" hidden="1" x14ac:dyDescent="0.3"/>
    <row r="974" hidden="1" x14ac:dyDescent="0.3"/>
    <row r="975" hidden="1" x14ac:dyDescent="0.3"/>
    <row r="976" hidden="1" x14ac:dyDescent="0.3"/>
    <row r="977" hidden="1" x14ac:dyDescent="0.3"/>
    <row r="978" hidden="1" x14ac:dyDescent="0.3"/>
    <row r="979" hidden="1" x14ac:dyDescent="0.3"/>
    <row r="980" hidden="1" x14ac:dyDescent="0.3"/>
    <row r="981" hidden="1" x14ac:dyDescent="0.3"/>
    <row r="982" hidden="1" x14ac:dyDescent="0.3"/>
    <row r="983" hidden="1" x14ac:dyDescent="0.3"/>
    <row r="984" hidden="1" x14ac:dyDescent="0.3"/>
    <row r="985" hidden="1" x14ac:dyDescent="0.3"/>
    <row r="986" hidden="1" x14ac:dyDescent="0.3"/>
    <row r="987" hidden="1" x14ac:dyDescent="0.3"/>
    <row r="988" hidden="1" x14ac:dyDescent="0.3"/>
    <row r="989" hidden="1" x14ac:dyDescent="0.3"/>
    <row r="990" hidden="1" x14ac:dyDescent="0.3"/>
    <row r="991" hidden="1" x14ac:dyDescent="0.3"/>
    <row r="992" hidden="1" x14ac:dyDescent="0.3"/>
    <row r="993" hidden="1" x14ac:dyDescent="0.3"/>
    <row r="994" hidden="1" x14ac:dyDescent="0.3"/>
    <row r="995" hidden="1" x14ac:dyDescent="0.3"/>
    <row r="996" hidden="1" x14ac:dyDescent="0.3"/>
    <row r="997" hidden="1" x14ac:dyDescent="0.3"/>
    <row r="998" hidden="1" x14ac:dyDescent="0.3"/>
    <row r="999" hidden="1" x14ac:dyDescent="0.3"/>
    <row r="1000" hidden="1" x14ac:dyDescent="0.3"/>
    <row r="1001" hidden="1" x14ac:dyDescent="0.3"/>
    <row r="1002" hidden="1" x14ac:dyDescent="0.3"/>
    <row r="1003" hidden="1" x14ac:dyDescent="0.3"/>
    <row r="1004" hidden="1" x14ac:dyDescent="0.3"/>
    <row r="1005" hidden="1" x14ac:dyDescent="0.3"/>
    <row r="1006" hidden="1" x14ac:dyDescent="0.3"/>
    <row r="1007" hidden="1" x14ac:dyDescent="0.3"/>
    <row r="1008" hidden="1" x14ac:dyDescent="0.3"/>
    <row r="1009" hidden="1" x14ac:dyDescent="0.3"/>
    <row r="1010" hidden="1" x14ac:dyDescent="0.3"/>
    <row r="1011" hidden="1" x14ac:dyDescent="0.3"/>
    <row r="1012" hidden="1" x14ac:dyDescent="0.3"/>
    <row r="1013" hidden="1" x14ac:dyDescent="0.3"/>
    <row r="1014" hidden="1" x14ac:dyDescent="0.3"/>
    <row r="1015" hidden="1" x14ac:dyDescent="0.3"/>
    <row r="1016" hidden="1" x14ac:dyDescent="0.3"/>
    <row r="1017" hidden="1" x14ac:dyDescent="0.3"/>
    <row r="1018" hidden="1" x14ac:dyDescent="0.3"/>
    <row r="1019" hidden="1" x14ac:dyDescent="0.3"/>
    <row r="1020" hidden="1" x14ac:dyDescent="0.3"/>
    <row r="1021" hidden="1" x14ac:dyDescent="0.3"/>
    <row r="1022" hidden="1" x14ac:dyDescent="0.3"/>
    <row r="1023" hidden="1" x14ac:dyDescent="0.3"/>
    <row r="1024" hidden="1" x14ac:dyDescent="0.3"/>
    <row r="1025" hidden="1" x14ac:dyDescent="0.3"/>
    <row r="1026" hidden="1" x14ac:dyDescent="0.3"/>
    <row r="1027" hidden="1" x14ac:dyDescent="0.3"/>
    <row r="1028" hidden="1" x14ac:dyDescent="0.3"/>
    <row r="1029" hidden="1" x14ac:dyDescent="0.3"/>
    <row r="1030" hidden="1" x14ac:dyDescent="0.3"/>
    <row r="1031" hidden="1" x14ac:dyDescent="0.3"/>
    <row r="1032" hidden="1" x14ac:dyDescent="0.3"/>
    <row r="1033" hidden="1" x14ac:dyDescent="0.3"/>
    <row r="1034" hidden="1" x14ac:dyDescent="0.3"/>
    <row r="1035" hidden="1" x14ac:dyDescent="0.3"/>
    <row r="1036" hidden="1" x14ac:dyDescent="0.3"/>
    <row r="1037" hidden="1" x14ac:dyDescent="0.3"/>
    <row r="1038" hidden="1" x14ac:dyDescent="0.3"/>
    <row r="1039" hidden="1" x14ac:dyDescent="0.3"/>
    <row r="1040" hidden="1" x14ac:dyDescent="0.3"/>
    <row r="1041" hidden="1" x14ac:dyDescent="0.3"/>
    <row r="1042" hidden="1" x14ac:dyDescent="0.3"/>
    <row r="1043" hidden="1" x14ac:dyDescent="0.3"/>
    <row r="1044" hidden="1" x14ac:dyDescent="0.3"/>
    <row r="1045" hidden="1" x14ac:dyDescent="0.3"/>
    <row r="1046" hidden="1" x14ac:dyDescent="0.3"/>
    <row r="1047" hidden="1" x14ac:dyDescent="0.3"/>
    <row r="1048" hidden="1" x14ac:dyDescent="0.3"/>
    <row r="1049" hidden="1" x14ac:dyDescent="0.3"/>
    <row r="1050" hidden="1" x14ac:dyDescent="0.3"/>
    <row r="1051" hidden="1" x14ac:dyDescent="0.3"/>
    <row r="1052" hidden="1" x14ac:dyDescent="0.3"/>
    <row r="1053" hidden="1" x14ac:dyDescent="0.3"/>
    <row r="1054" hidden="1" x14ac:dyDescent="0.3"/>
    <row r="1055" hidden="1" x14ac:dyDescent="0.3"/>
    <row r="1056" hidden="1" x14ac:dyDescent="0.3"/>
    <row r="1057" hidden="1" x14ac:dyDescent="0.3"/>
    <row r="1058" hidden="1" x14ac:dyDescent="0.3"/>
    <row r="1059" hidden="1" x14ac:dyDescent="0.3"/>
    <row r="1060" hidden="1" x14ac:dyDescent="0.3"/>
    <row r="1061" hidden="1" x14ac:dyDescent="0.3"/>
    <row r="1062" hidden="1" x14ac:dyDescent="0.3"/>
    <row r="1063" hidden="1" x14ac:dyDescent="0.3"/>
    <row r="1064" hidden="1" x14ac:dyDescent="0.3"/>
    <row r="1065" hidden="1" x14ac:dyDescent="0.3"/>
    <row r="1066" hidden="1" x14ac:dyDescent="0.3"/>
    <row r="1067" hidden="1" x14ac:dyDescent="0.3"/>
    <row r="1068" hidden="1" x14ac:dyDescent="0.3"/>
    <row r="1069" hidden="1" x14ac:dyDescent="0.3"/>
    <row r="1070" hidden="1" x14ac:dyDescent="0.3"/>
    <row r="1071" hidden="1" x14ac:dyDescent="0.3"/>
    <row r="1072" hidden="1" x14ac:dyDescent="0.3"/>
    <row r="1073" hidden="1" x14ac:dyDescent="0.3"/>
    <row r="1074" hidden="1" x14ac:dyDescent="0.3"/>
    <row r="1075" hidden="1" x14ac:dyDescent="0.3"/>
    <row r="1076" hidden="1" x14ac:dyDescent="0.3"/>
    <row r="1077" hidden="1" x14ac:dyDescent="0.3"/>
    <row r="1078" hidden="1" x14ac:dyDescent="0.3"/>
    <row r="1079" hidden="1" x14ac:dyDescent="0.3"/>
    <row r="1080" hidden="1" x14ac:dyDescent="0.3"/>
    <row r="1081" hidden="1" x14ac:dyDescent="0.3"/>
    <row r="1082" hidden="1" x14ac:dyDescent="0.3"/>
    <row r="1083" hidden="1" x14ac:dyDescent="0.3"/>
    <row r="1084" hidden="1" x14ac:dyDescent="0.3"/>
    <row r="1085" hidden="1" x14ac:dyDescent="0.3"/>
    <row r="1086" hidden="1" x14ac:dyDescent="0.3"/>
    <row r="1087" hidden="1" x14ac:dyDescent="0.3"/>
    <row r="1088" hidden="1" x14ac:dyDescent="0.3"/>
    <row r="1089" hidden="1" x14ac:dyDescent="0.3"/>
    <row r="1090" hidden="1" x14ac:dyDescent="0.3"/>
    <row r="1091" hidden="1" x14ac:dyDescent="0.3"/>
    <row r="1092" hidden="1" x14ac:dyDescent="0.3"/>
    <row r="1093" hidden="1" x14ac:dyDescent="0.3"/>
    <row r="1094" hidden="1" x14ac:dyDescent="0.3"/>
    <row r="1095" hidden="1" x14ac:dyDescent="0.3"/>
    <row r="1096" hidden="1" x14ac:dyDescent="0.3"/>
    <row r="1097" hidden="1" x14ac:dyDescent="0.3"/>
    <row r="1098" hidden="1" x14ac:dyDescent="0.3"/>
    <row r="1099" hidden="1" x14ac:dyDescent="0.3"/>
    <row r="1100" hidden="1" x14ac:dyDescent="0.3"/>
    <row r="1101" hidden="1" x14ac:dyDescent="0.3"/>
    <row r="1102" hidden="1" x14ac:dyDescent="0.3"/>
    <row r="1103" hidden="1" x14ac:dyDescent="0.3"/>
    <row r="1104" hidden="1" x14ac:dyDescent="0.3"/>
    <row r="1105" hidden="1" x14ac:dyDescent="0.3"/>
    <row r="1106" hidden="1" x14ac:dyDescent="0.3"/>
    <row r="1107" hidden="1" x14ac:dyDescent="0.3"/>
    <row r="1108" hidden="1" x14ac:dyDescent="0.3"/>
    <row r="1109" hidden="1" x14ac:dyDescent="0.3"/>
    <row r="1110" hidden="1" x14ac:dyDescent="0.3"/>
    <row r="1111" hidden="1" x14ac:dyDescent="0.3"/>
    <row r="1112" hidden="1" x14ac:dyDescent="0.3"/>
    <row r="1113" hidden="1" x14ac:dyDescent="0.3"/>
    <row r="1114" hidden="1" x14ac:dyDescent="0.3"/>
    <row r="1115" hidden="1" x14ac:dyDescent="0.3"/>
    <row r="1116" hidden="1" x14ac:dyDescent="0.3"/>
    <row r="1117" hidden="1" x14ac:dyDescent="0.3"/>
    <row r="1118" hidden="1" x14ac:dyDescent="0.3"/>
    <row r="1119" hidden="1" x14ac:dyDescent="0.3"/>
    <row r="1120" hidden="1" x14ac:dyDescent="0.3"/>
    <row r="1121" hidden="1" x14ac:dyDescent="0.3"/>
    <row r="1122" hidden="1" x14ac:dyDescent="0.3"/>
    <row r="1123" hidden="1" x14ac:dyDescent="0.3"/>
    <row r="1124" hidden="1" x14ac:dyDescent="0.3"/>
    <row r="1125" hidden="1" x14ac:dyDescent="0.3"/>
    <row r="1126" hidden="1" x14ac:dyDescent="0.3"/>
    <row r="1127" hidden="1" x14ac:dyDescent="0.3"/>
    <row r="1128" hidden="1" x14ac:dyDescent="0.3"/>
    <row r="1129" hidden="1" x14ac:dyDescent="0.3"/>
    <row r="1130" hidden="1" x14ac:dyDescent="0.3"/>
    <row r="1131" hidden="1" x14ac:dyDescent="0.3"/>
    <row r="1132" hidden="1" x14ac:dyDescent="0.3"/>
    <row r="1133" hidden="1" x14ac:dyDescent="0.3"/>
    <row r="1134" hidden="1" x14ac:dyDescent="0.3"/>
    <row r="1135" hidden="1" x14ac:dyDescent="0.3"/>
    <row r="1136" hidden="1" x14ac:dyDescent="0.3"/>
    <row r="1137" hidden="1" x14ac:dyDescent="0.3"/>
    <row r="1138" hidden="1" x14ac:dyDescent="0.3"/>
    <row r="1139" hidden="1" x14ac:dyDescent="0.3"/>
    <row r="1140" hidden="1" x14ac:dyDescent="0.3"/>
    <row r="1141" hidden="1" x14ac:dyDescent="0.3"/>
    <row r="1142" hidden="1" x14ac:dyDescent="0.3"/>
    <row r="1143" hidden="1" x14ac:dyDescent="0.3"/>
    <row r="1144" hidden="1" x14ac:dyDescent="0.3"/>
    <row r="1145" hidden="1" x14ac:dyDescent="0.3"/>
    <row r="1146" hidden="1" x14ac:dyDescent="0.3"/>
    <row r="1147" hidden="1" x14ac:dyDescent="0.3"/>
    <row r="1148" hidden="1" x14ac:dyDescent="0.3"/>
    <row r="1149" hidden="1" x14ac:dyDescent="0.3"/>
    <row r="1150" hidden="1" x14ac:dyDescent="0.3"/>
    <row r="1151" hidden="1" x14ac:dyDescent="0.3"/>
    <row r="1152" hidden="1" x14ac:dyDescent="0.3"/>
    <row r="1153" hidden="1" x14ac:dyDescent="0.3"/>
    <row r="1154" hidden="1" x14ac:dyDescent="0.3"/>
    <row r="1155" hidden="1" x14ac:dyDescent="0.3"/>
    <row r="1156" hidden="1" x14ac:dyDescent="0.3"/>
    <row r="1157" hidden="1" x14ac:dyDescent="0.3"/>
    <row r="1158" hidden="1" x14ac:dyDescent="0.3"/>
    <row r="1159" hidden="1" x14ac:dyDescent="0.3"/>
    <row r="1160" hidden="1" x14ac:dyDescent="0.3"/>
    <row r="1161" hidden="1" x14ac:dyDescent="0.3"/>
    <row r="1162" hidden="1" x14ac:dyDescent="0.3"/>
    <row r="1163" hidden="1" x14ac:dyDescent="0.3"/>
    <row r="1164" hidden="1" x14ac:dyDescent="0.3"/>
    <row r="1165" hidden="1" x14ac:dyDescent="0.3"/>
    <row r="1166" hidden="1" x14ac:dyDescent="0.3"/>
    <row r="1167" hidden="1" x14ac:dyDescent="0.3"/>
    <row r="1168" hidden="1" x14ac:dyDescent="0.3"/>
    <row r="1169" hidden="1" x14ac:dyDescent="0.3"/>
    <row r="1170" hidden="1" x14ac:dyDescent="0.3"/>
    <row r="1171" hidden="1" x14ac:dyDescent="0.3"/>
    <row r="1172" hidden="1" x14ac:dyDescent="0.3"/>
    <row r="1173" hidden="1" x14ac:dyDescent="0.3"/>
    <row r="1174" hidden="1" x14ac:dyDescent="0.3"/>
    <row r="1175" hidden="1" x14ac:dyDescent="0.3"/>
    <row r="1176" hidden="1" x14ac:dyDescent="0.3"/>
    <row r="1177" hidden="1" x14ac:dyDescent="0.3"/>
    <row r="1178" hidden="1" x14ac:dyDescent="0.3"/>
    <row r="1179" hidden="1" x14ac:dyDescent="0.3"/>
    <row r="1180" hidden="1" x14ac:dyDescent="0.3"/>
    <row r="1181" hidden="1" x14ac:dyDescent="0.3"/>
    <row r="1182" hidden="1" x14ac:dyDescent="0.3"/>
    <row r="1183" hidden="1" x14ac:dyDescent="0.3"/>
    <row r="1184" hidden="1" x14ac:dyDescent="0.3"/>
    <row r="1185" hidden="1" x14ac:dyDescent="0.3"/>
    <row r="1186" hidden="1" x14ac:dyDescent="0.3"/>
    <row r="1187" hidden="1" x14ac:dyDescent="0.3"/>
    <row r="1188" hidden="1" x14ac:dyDescent="0.3"/>
    <row r="1189" hidden="1" x14ac:dyDescent="0.3"/>
    <row r="1190" hidden="1" x14ac:dyDescent="0.3"/>
    <row r="1191" hidden="1" x14ac:dyDescent="0.3"/>
    <row r="1192" hidden="1" x14ac:dyDescent="0.3"/>
    <row r="1193" hidden="1" x14ac:dyDescent="0.3"/>
    <row r="1194" hidden="1" x14ac:dyDescent="0.3"/>
    <row r="1195" hidden="1" x14ac:dyDescent="0.3"/>
    <row r="1196" hidden="1" x14ac:dyDescent="0.3"/>
    <row r="1197" hidden="1" x14ac:dyDescent="0.3"/>
    <row r="1198" hidden="1" x14ac:dyDescent="0.3"/>
    <row r="1199" hidden="1" x14ac:dyDescent="0.3"/>
    <row r="1200" hidden="1" x14ac:dyDescent="0.3"/>
    <row r="1201" hidden="1" x14ac:dyDescent="0.3"/>
    <row r="1202" hidden="1" x14ac:dyDescent="0.3"/>
    <row r="1203" hidden="1" x14ac:dyDescent="0.3"/>
    <row r="1204" hidden="1" x14ac:dyDescent="0.3"/>
    <row r="1205" hidden="1" x14ac:dyDescent="0.3"/>
    <row r="1206" hidden="1" x14ac:dyDescent="0.3"/>
    <row r="1207" hidden="1" x14ac:dyDescent="0.3"/>
    <row r="1208" hidden="1" x14ac:dyDescent="0.3"/>
    <row r="1209" hidden="1" x14ac:dyDescent="0.3"/>
    <row r="1210" hidden="1" x14ac:dyDescent="0.3"/>
    <row r="1211" hidden="1" x14ac:dyDescent="0.3"/>
    <row r="1212" hidden="1" x14ac:dyDescent="0.3"/>
    <row r="1213" hidden="1" x14ac:dyDescent="0.3"/>
    <row r="1214" hidden="1" x14ac:dyDescent="0.3"/>
    <row r="1215" hidden="1" x14ac:dyDescent="0.3"/>
    <row r="1216" hidden="1" x14ac:dyDescent="0.3"/>
    <row r="1217" hidden="1" x14ac:dyDescent="0.3"/>
    <row r="1218" hidden="1" x14ac:dyDescent="0.3"/>
    <row r="1219" hidden="1" x14ac:dyDescent="0.3"/>
    <row r="1220" hidden="1" x14ac:dyDescent="0.3"/>
    <row r="1221" hidden="1" x14ac:dyDescent="0.3"/>
    <row r="1222" hidden="1" x14ac:dyDescent="0.3"/>
    <row r="1223" hidden="1" x14ac:dyDescent="0.3"/>
    <row r="1224" hidden="1" x14ac:dyDescent="0.3"/>
    <row r="1225" hidden="1" x14ac:dyDescent="0.3"/>
    <row r="1226" hidden="1" x14ac:dyDescent="0.3"/>
    <row r="1227" hidden="1" x14ac:dyDescent="0.3"/>
    <row r="1228" hidden="1" x14ac:dyDescent="0.3"/>
    <row r="1229" hidden="1" x14ac:dyDescent="0.3"/>
    <row r="1230" hidden="1" x14ac:dyDescent="0.3"/>
    <row r="1231" hidden="1" x14ac:dyDescent="0.3"/>
    <row r="1232" hidden="1" x14ac:dyDescent="0.3"/>
    <row r="1233" hidden="1" x14ac:dyDescent="0.3"/>
    <row r="1234" hidden="1" x14ac:dyDescent="0.3"/>
    <row r="1235" hidden="1" x14ac:dyDescent="0.3"/>
    <row r="1236" hidden="1" x14ac:dyDescent="0.3"/>
    <row r="1237" hidden="1" x14ac:dyDescent="0.3"/>
    <row r="1238" hidden="1" x14ac:dyDescent="0.3"/>
    <row r="1239" hidden="1" x14ac:dyDescent="0.3"/>
    <row r="1240" hidden="1" x14ac:dyDescent="0.3"/>
    <row r="1241" hidden="1" x14ac:dyDescent="0.3"/>
    <row r="1242" hidden="1" x14ac:dyDescent="0.3"/>
    <row r="1243" hidden="1" x14ac:dyDescent="0.3"/>
    <row r="1244" hidden="1" x14ac:dyDescent="0.3"/>
    <row r="1245" hidden="1" x14ac:dyDescent="0.3"/>
    <row r="1246" hidden="1" x14ac:dyDescent="0.3"/>
    <row r="1247" hidden="1" x14ac:dyDescent="0.3"/>
    <row r="1248" hidden="1" x14ac:dyDescent="0.3"/>
    <row r="1249" hidden="1" x14ac:dyDescent="0.3"/>
    <row r="1250" hidden="1" x14ac:dyDescent="0.3"/>
    <row r="1251" hidden="1" x14ac:dyDescent="0.3"/>
    <row r="1252" hidden="1" x14ac:dyDescent="0.3"/>
    <row r="1253" hidden="1" x14ac:dyDescent="0.3"/>
    <row r="1254" hidden="1" x14ac:dyDescent="0.3"/>
    <row r="1255" hidden="1" x14ac:dyDescent="0.3"/>
    <row r="1256" hidden="1" x14ac:dyDescent="0.3"/>
    <row r="1257" hidden="1" x14ac:dyDescent="0.3"/>
    <row r="1258" hidden="1" x14ac:dyDescent="0.3"/>
    <row r="1259" hidden="1" x14ac:dyDescent="0.3"/>
    <row r="1260" hidden="1" x14ac:dyDescent="0.3"/>
    <row r="1261" hidden="1" x14ac:dyDescent="0.3"/>
    <row r="1262" hidden="1" x14ac:dyDescent="0.3"/>
    <row r="1263" hidden="1" x14ac:dyDescent="0.3"/>
    <row r="1264" hidden="1" x14ac:dyDescent="0.3"/>
    <row r="1265" hidden="1" x14ac:dyDescent="0.3"/>
    <row r="1266" hidden="1" x14ac:dyDescent="0.3"/>
    <row r="1267" hidden="1" x14ac:dyDescent="0.3"/>
    <row r="1268" hidden="1" x14ac:dyDescent="0.3"/>
    <row r="1269" hidden="1" x14ac:dyDescent="0.3"/>
    <row r="1270" hidden="1" x14ac:dyDescent="0.3"/>
    <row r="1271" hidden="1" x14ac:dyDescent="0.3"/>
    <row r="1272" hidden="1" x14ac:dyDescent="0.3"/>
    <row r="1273" hidden="1" x14ac:dyDescent="0.3"/>
    <row r="1274" hidden="1" x14ac:dyDescent="0.3"/>
    <row r="1275" hidden="1" x14ac:dyDescent="0.3"/>
    <row r="1276" hidden="1" x14ac:dyDescent="0.3"/>
    <row r="1277" hidden="1" x14ac:dyDescent="0.3"/>
    <row r="1278" hidden="1" x14ac:dyDescent="0.3"/>
    <row r="1279" hidden="1" x14ac:dyDescent="0.3"/>
    <row r="1280" hidden="1" x14ac:dyDescent="0.3"/>
    <row r="1281" hidden="1" x14ac:dyDescent="0.3"/>
    <row r="1282" hidden="1" x14ac:dyDescent="0.3"/>
    <row r="1283" hidden="1" x14ac:dyDescent="0.3"/>
    <row r="1284" hidden="1" x14ac:dyDescent="0.3"/>
    <row r="1285" hidden="1" x14ac:dyDescent="0.3"/>
    <row r="1286" hidden="1" x14ac:dyDescent="0.3"/>
    <row r="1287" hidden="1" x14ac:dyDescent="0.3"/>
    <row r="1288" hidden="1" x14ac:dyDescent="0.3"/>
    <row r="1289" hidden="1" x14ac:dyDescent="0.3"/>
    <row r="1290" hidden="1" x14ac:dyDescent="0.3"/>
    <row r="1291" hidden="1" x14ac:dyDescent="0.3"/>
    <row r="1292" hidden="1" x14ac:dyDescent="0.3"/>
    <row r="1293" hidden="1" x14ac:dyDescent="0.3"/>
    <row r="1294" hidden="1" x14ac:dyDescent="0.3"/>
    <row r="1295" hidden="1" x14ac:dyDescent="0.3"/>
    <row r="1296" hidden="1" x14ac:dyDescent="0.3"/>
    <row r="1297" hidden="1" x14ac:dyDescent="0.3"/>
    <row r="1298" hidden="1" x14ac:dyDescent="0.3"/>
    <row r="1299" hidden="1" x14ac:dyDescent="0.3"/>
    <row r="1300" hidden="1" x14ac:dyDescent="0.3"/>
    <row r="1301" hidden="1" x14ac:dyDescent="0.3"/>
    <row r="1302" hidden="1" x14ac:dyDescent="0.3"/>
    <row r="1303" hidden="1" x14ac:dyDescent="0.3"/>
    <row r="1304" hidden="1" x14ac:dyDescent="0.3"/>
    <row r="1305" hidden="1" x14ac:dyDescent="0.3"/>
    <row r="1306" hidden="1" x14ac:dyDescent="0.3"/>
    <row r="1307" hidden="1" x14ac:dyDescent="0.3"/>
    <row r="1308" hidden="1" x14ac:dyDescent="0.3"/>
    <row r="1309" hidden="1" x14ac:dyDescent="0.3"/>
    <row r="1310" hidden="1" x14ac:dyDescent="0.3"/>
    <row r="1311" hidden="1" x14ac:dyDescent="0.3"/>
    <row r="1312" hidden="1" x14ac:dyDescent="0.3"/>
    <row r="1313" hidden="1" x14ac:dyDescent="0.3"/>
    <row r="1314" hidden="1" x14ac:dyDescent="0.3"/>
    <row r="1315" hidden="1" x14ac:dyDescent="0.3"/>
    <row r="1316" hidden="1" x14ac:dyDescent="0.3"/>
    <row r="1317" hidden="1" x14ac:dyDescent="0.3"/>
    <row r="1318" hidden="1" x14ac:dyDescent="0.3"/>
    <row r="1319" hidden="1" x14ac:dyDescent="0.3"/>
    <row r="1320" hidden="1" x14ac:dyDescent="0.3"/>
    <row r="1321" hidden="1" x14ac:dyDescent="0.3"/>
    <row r="1322" hidden="1" x14ac:dyDescent="0.3"/>
    <row r="1323" hidden="1" x14ac:dyDescent="0.3"/>
    <row r="1324" hidden="1" x14ac:dyDescent="0.3"/>
    <row r="1325" hidden="1" x14ac:dyDescent="0.3"/>
    <row r="1326" hidden="1" x14ac:dyDescent="0.3"/>
    <row r="1327" hidden="1" x14ac:dyDescent="0.3"/>
    <row r="1328" hidden="1" x14ac:dyDescent="0.3"/>
    <row r="1329" hidden="1" x14ac:dyDescent="0.3"/>
    <row r="1330" hidden="1" x14ac:dyDescent="0.3"/>
    <row r="1331" hidden="1" x14ac:dyDescent="0.3"/>
    <row r="1332" hidden="1" x14ac:dyDescent="0.3"/>
    <row r="1333" hidden="1" x14ac:dyDescent="0.3"/>
    <row r="1334" hidden="1" x14ac:dyDescent="0.3"/>
    <row r="1335" hidden="1" x14ac:dyDescent="0.3"/>
    <row r="1336" hidden="1" x14ac:dyDescent="0.3"/>
    <row r="1337" hidden="1" x14ac:dyDescent="0.3"/>
    <row r="1338" hidden="1" x14ac:dyDescent="0.3"/>
    <row r="1339" hidden="1" x14ac:dyDescent="0.3"/>
    <row r="1340" hidden="1" x14ac:dyDescent="0.3"/>
    <row r="1341" hidden="1" x14ac:dyDescent="0.3"/>
    <row r="1342" hidden="1" x14ac:dyDescent="0.3"/>
    <row r="1343" hidden="1" x14ac:dyDescent="0.3"/>
    <row r="1344" hidden="1" x14ac:dyDescent="0.3"/>
    <row r="1345" hidden="1" x14ac:dyDescent="0.3"/>
    <row r="1346" hidden="1" x14ac:dyDescent="0.3"/>
    <row r="1347" hidden="1" x14ac:dyDescent="0.3"/>
    <row r="1348" hidden="1" x14ac:dyDescent="0.3"/>
    <row r="1349" hidden="1" x14ac:dyDescent="0.3"/>
    <row r="1350" hidden="1" x14ac:dyDescent="0.3"/>
    <row r="1351" hidden="1" x14ac:dyDescent="0.3"/>
    <row r="1352" hidden="1" x14ac:dyDescent="0.3"/>
    <row r="1353" hidden="1" x14ac:dyDescent="0.3"/>
    <row r="1354" hidden="1" x14ac:dyDescent="0.3"/>
    <row r="1355" hidden="1" x14ac:dyDescent="0.3"/>
    <row r="1356" hidden="1" x14ac:dyDescent="0.3"/>
    <row r="1357" hidden="1" x14ac:dyDescent="0.3"/>
    <row r="1358" hidden="1" x14ac:dyDescent="0.3"/>
    <row r="1359" hidden="1" x14ac:dyDescent="0.3"/>
    <row r="1360" hidden="1" x14ac:dyDescent="0.3"/>
    <row r="1361" hidden="1" x14ac:dyDescent="0.3"/>
    <row r="1362" hidden="1" x14ac:dyDescent="0.3"/>
    <row r="1363" hidden="1" x14ac:dyDescent="0.3"/>
    <row r="1364" hidden="1" x14ac:dyDescent="0.3"/>
    <row r="1365" hidden="1" x14ac:dyDescent="0.3"/>
    <row r="1366" hidden="1" x14ac:dyDescent="0.3"/>
    <row r="1367" hidden="1" x14ac:dyDescent="0.3"/>
    <row r="1368" hidden="1" x14ac:dyDescent="0.3"/>
    <row r="1369" hidden="1" x14ac:dyDescent="0.3"/>
    <row r="1370" hidden="1" x14ac:dyDescent="0.3"/>
    <row r="1371" hidden="1" x14ac:dyDescent="0.3"/>
    <row r="1372" hidden="1" x14ac:dyDescent="0.3"/>
    <row r="1373" hidden="1" x14ac:dyDescent="0.3"/>
    <row r="1374" hidden="1" x14ac:dyDescent="0.3"/>
    <row r="1375" hidden="1" x14ac:dyDescent="0.3"/>
    <row r="1376" hidden="1" x14ac:dyDescent="0.3"/>
    <row r="1377" hidden="1" x14ac:dyDescent="0.3"/>
    <row r="1378" hidden="1" x14ac:dyDescent="0.3"/>
    <row r="1379" hidden="1" x14ac:dyDescent="0.3"/>
    <row r="1380" hidden="1" x14ac:dyDescent="0.3"/>
    <row r="1381" hidden="1" x14ac:dyDescent="0.3"/>
    <row r="1382" hidden="1" x14ac:dyDescent="0.3"/>
    <row r="1383" hidden="1" x14ac:dyDescent="0.3"/>
    <row r="1384" hidden="1" x14ac:dyDescent="0.3"/>
    <row r="1385" hidden="1" x14ac:dyDescent="0.3"/>
    <row r="1386" hidden="1" x14ac:dyDescent="0.3"/>
    <row r="1387" hidden="1" x14ac:dyDescent="0.3"/>
    <row r="1388" hidden="1" x14ac:dyDescent="0.3"/>
    <row r="1389" hidden="1" x14ac:dyDescent="0.3"/>
    <row r="1390" hidden="1" x14ac:dyDescent="0.3"/>
    <row r="1391" hidden="1" x14ac:dyDescent="0.3"/>
    <row r="1392" hidden="1" x14ac:dyDescent="0.3"/>
    <row r="1393" hidden="1" x14ac:dyDescent="0.3"/>
    <row r="1394" hidden="1" x14ac:dyDescent="0.3"/>
    <row r="1395" hidden="1" x14ac:dyDescent="0.3"/>
    <row r="1396" hidden="1" x14ac:dyDescent="0.3"/>
    <row r="1397" hidden="1" x14ac:dyDescent="0.3"/>
    <row r="1398" hidden="1" x14ac:dyDescent="0.3"/>
    <row r="1399" hidden="1" x14ac:dyDescent="0.3"/>
    <row r="1400" hidden="1" x14ac:dyDescent="0.3"/>
    <row r="1401" hidden="1" x14ac:dyDescent="0.3"/>
    <row r="1402" hidden="1" x14ac:dyDescent="0.3"/>
    <row r="1403" hidden="1" x14ac:dyDescent="0.3"/>
    <row r="1404" hidden="1" x14ac:dyDescent="0.3"/>
    <row r="1405" hidden="1" x14ac:dyDescent="0.3"/>
    <row r="1406" hidden="1" x14ac:dyDescent="0.3"/>
    <row r="1407" hidden="1" x14ac:dyDescent="0.3"/>
    <row r="1408" hidden="1" x14ac:dyDescent="0.3"/>
    <row r="1409" hidden="1" x14ac:dyDescent="0.3"/>
    <row r="1410" hidden="1" x14ac:dyDescent="0.3"/>
    <row r="1411" hidden="1" x14ac:dyDescent="0.3"/>
    <row r="1412" hidden="1" x14ac:dyDescent="0.3"/>
    <row r="1413" hidden="1" x14ac:dyDescent="0.3"/>
    <row r="1414" hidden="1" x14ac:dyDescent="0.3"/>
    <row r="1415" hidden="1" x14ac:dyDescent="0.3"/>
    <row r="1416" hidden="1" x14ac:dyDescent="0.3"/>
    <row r="1417" hidden="1" x14ac:dyDescent="0.3"/>
    <row r="1418" hidden="1" x14ac:dyDescent="0.3"/>
    <row r="1419" hidden="1" x14ac:dyDescent="0.3"/>
    <row r="1420" hidden="1" x14ac:dyDescent="0.3"/>
    <row r="1421" hidden="1" x14ac:dyDescent="0.3"/>
    <row r="1422" hidden="1" x14ac:dyDescent="0.3"/>
    <row r="1423" hidden="1" x14ac:dyDescent="0.3"/>
    <row r="1424" hidden="1" x14ac:dyDescent="0.3"/>
    <row r="1425" hidden="1" x14ac:dyDescent="0.3"/>
    <row r="1426" hidden="1" x14ac:dyDescent="0.3"/>
    <row r="1427" hidden="1" x14ac:dyDescent="0.3"/>
    <row r="1428" hidden="1" x14ac:dyDescent="0.3"/>
    <row r="1429" hidden="1" x14ac:dyDescent="0.3"/>
    <row r="1430" hidden="1" x14ac:dyDescent="0.3"/>
    <row r="1431" hidden="1" x14ac:dyDescent="0.3"/>
    <row r="1432" hidden="1" x14ac:dyDescent="0.3"/>
    <row r="1433" hidden="1" x14ac:dyDescent="0.3"/>
    <row r="1434" hidden="1" x14ac:dyDescent="0.3"/>
    <row r="1435" hidden="1" x14ac:dyDescent="0.3"/>
    <row r="1436" hidden="1" x14ac:dyDescent="0.3"/>
    <row r="1437" hidden="1" x14ac:dyDescent="0.3"/>
    <row r="1438" hidden="1" x14ac:dyDescent="0.3"/>
    <row r="1439" hidden="1" x14ac:dyDescent="0.3"/>
    <row r="1440" hidden="1" x14ac:dyDescent="0.3"/>
    <row r="1441" hidden="1" x14ac:dyDescent="0.3"/>
    <row r="1442" hidden="1" x14ac:dyDescent="0.3"/>
    <row r="1443" hidden="1" x14ac:dyDescent="0.3"/>
    <row r="1444" hidden="1" x14ac:dyDescent="0.3"/>
    <row r="1445" hidden="1" x14ac:dyDescent="0.3"/>
    <row r="1446" hidden="1" x14ac:dyDescent="0.3"/>
    <row r="1447" hidden="1" x14ac:dyDescent="0.3"/>
    <row r="1448" hidden="1" x14ac:dyDescent="0.3"/>
    <row r="1449" hidden="1" x14ac:dyDescent="0.3"/>
    <row r="1450" hidden="1" x14ac:dyDescent="0.3"/>
    <row r="1451" hidden="1" x14ac:dyDescent="0.3"/>
    <row r="1452" hidden="1" x14ac:dyDescent="0.3"/>
    <row r="1453" hidden="1" x14ac:dyDescent="0.3"/>
    <row r="1454" hidden="1" x14ac:dyDescent="0.3"/>
    <row r="1455" hidden="1" x14ac:dyDescent="0.3"/>
    <row r="1456" hidden="1" x14ac:dyDescent="0.3"/>
    <row r="1457" hidden="1" x14ac:dyDescent="0.3"/>
    <row r="1458" hidden="1" x14ac:dyDescent="0.3"/>
    <row r="1459" hidden="1" x14ac:dyDescent="0.3"/>
    <row r="1460" hidden="1" x14ac:dyDescent="0.3"/>
    <row r="1461" hidden="1" x14ac:dyDescent="0.3"/>
    <row r="1462" hidden="1" x14ac:dyDescent="0.3"/>
    <row r="1463" hidden="1" x14ac:dyDescent="0.3"/>
    <row r="1464" hidden="1" x14ac:dyDescent="0.3"/>
    <row r="1465" hidden="1" x14ac:dyDescent="0.3"/>
    <row r="1466" hidden="1" x14ac:dyDescent="0.3"/>
    <row r="1467" hidden="1" x14ac:dyDescent="0.3"/>
    <row r="1468" hidden="1" x14ac:dyDescent="0.3"/>
    <row r="1469" hidden="1" x14ac:dyDescent="0.3"/>
    <row r="1470" hidden="1" x14ac:dyDescent="0.3"/>
    <row r="1471" hidden="1" x14ac:dyDescent="0.3"/>
    <row r="1472" hidden="1" x14ac:dyDescent="0.3"/>
    <row r="1473" hidden="1" x14ac:dyDescent="0.3"/>
    <row r="1474" hidden="1" x14ac:dyDescent="0.3"/>
    <row r="1475" hidden="1" x14ac:dyDescent="0.3"/>
    <row r="1476" hidden="1" x14ac:dyDescent="0.3"/>
    <row r="1477" hidden="1" x14ac:dyDescent="0.3"/>
    <row r="1478" hidden="1" x14ac:dyDescent="0.3"/>
    <row r="1479" hidden="1" x14ac:dyDescent="0.3"/>
    <row r="1480" hidden="1" x14ac:dyDescent="0.3"/>
    <row r="1481" hidden="1" x14ac:dyDescent="0.3"/>
    <row r="1482" hidden="1" x14ac:dyDescent="0.3"/>
    <row r="1483" hidden="1" x14ac:dyDescent="0.3"/>
    <row r="1484" hidden="1" x14ac:dyDescent="0.3"/>
    <row r="1485" hidden="1" x14ac:dyDescent="0.3"/>
    <row r="1486" hidden="1" x14ac:dyDescent="0.3"/>
    <row r="1487" hidden="1" x14ac:dyDescent="0.3"/>
    <row r="1488" hidden="1" x14ac:dyDescent="0.3"/>
    <row r="1489" hidden="1" x14ac:dyDescent="0.3"/>
    <row r="1490" hidden="1" x14ac:dyDescent="0.3"/>
    <row r="1491" hidden="1" x14ac:dyDescent="0.3"/>
    <row r="1492" hidden="1" x14ac:dyDescent="0.3"/>
    <row r="1493" hidden="1" x14ac:dyDescent="0.3"/>
    <row r="1494" hidden="1" x14ac:dyDescent="0.3"/>
    <row r="1495" hidden="1" x14ac:dyDescent="0.3"/>
    <row r="1496" hidden="1" x14ac:dyDescent="0.3"/>
    <row r="1497" hidden="1" x14ac:dyDescent="0.3"/>
    <row r="1498" hidden="1" x14ac:dyDescent="0.3"/>
    <row r="1499" hidden="1" x14ac:dyDescent="0.3"/>
    <row r="1500" hidden="1" x14ac:dyDescent="0.3"/>
    <row r="1501" hidden="1" x14ac:dyDescent="0.3"/>
    <row r="1502" hidden="1" x14ac:dyDescent="0.3"/>
    <row r="1503" hidden="1" x14ac:dyDescent="0.3"/>
    <row r="1504" hidden="1" x14ac:dyDescent="0.3"/>
    <row r="1505" hidden="1" x14ac:dyDescent="0.3"/>
    <row r="1506" hidden="1" x14ac:dyDescent="0.3"/>
    <row r="1507" hidden="1" x14ac:dyDescent="0.3"/>
    <row r="1508" hidden="1" x14ac:dyDescent="0.3"/>
    <row r="1509" hidden="1" x14ac:dyDescent="0.3"/>
    <row r="1510" hidden="1" x14ac:dyDescent="0.3"/>
    <row r="1511" hidden="1" x14ac:dyDescent="0.3"/>
    <row r="1512" hidden="1" x14ac:dyDescent="0.3"/>
    <row r="1513" hidden="1" x14ac:dyDescent="0.3"/>
    <row r="1514" hidden="1" x14ac:dyDescent="0.3"/>
    <row r="1515" hidden="1" x14ac:dyDescent="0.3"/>
    <row r="1516" hidden="1" x14ac:dyDescent="0.3"/>
    <row r="1517" hidden="1" x14ac:dyDescent="0.3"/>
    <row r="1518" hidden="1" x14ac:dyDescent="0.3"/>
    <row r="1519" hidden="1" x14ac:dyDescent="0.3"/>
    <row r="1520" hidden="1" x14ac:dyDescent="0.3"/>
    <row r="1521" hidden="1" x14ac:dyDescent="0.3"/>
    <row r="1522" hidden="1" x14ac:dyDescent="0.3"/>
    <row r="1523" hidden="1" x14ac:dyDescent="0.3"/>
    <row r="1524" hidden="1" x14ac:dyDescent="0.3"/>
    <row r="1525" hidden="1" x14ac:dyDescent="0.3"/>
    <row r="1526" hidden="1" x14ac:dyDescent="0.3"/>
    <row r="1527" hidden="1" x14ac:dyDescent="0.3"/>
    <row r="1528" hidden="1" x14ac:dyDescent="0.3"/>
    <row r="1529" hidden="1" x14ac:dyDescent="0.3"/>
    <row r="1530" hidden="1" x14ac:dyDescent="0.3"/>
    <row r="1531" hidden="1" x14ac:dyDescent="0.3"/>
    <row r="1532" hidden="1" x14ac:dyDescent="0.3"/>
    <row r="1533" hidden="1" x14ac:dyDescent="0.3"/>
    <row r="1534" hidden="1" x14ac:dyDescent="0.3"/>
    <row r="1535" hidden="1" x14ac:dyDescent="0.3"/>
    <row r="1536" hidden="1" x14ac:dyDescent="0.3"/>
    <row r="1537" hidden="1" x14ac:dyDescent="0.3"/>
    <row r="1538" hidden="1" x14ac:dyDescent="0.3"/>
    <row r="1539" hidden="1" x14ac:dyDescent="0.3"/>
    <row r="1540" hidden="1" x14ac:dyDescent="0.3"/>
    <row r="1541" hidden="1" x14ac:dyDescent="0.3"/>
    <row r="1542" hidden="1" x14ac:dyDescent="0.3"/>
    <row r="1543" hidden="1" x14ac:dyDescent="0.3"/>
    <row r="1544" hidden="1" x14ac:dyDescent="0.3"/>
    <row r="1545" hidden="1" x14ac:dyDescent="0.3"/>
    <row r="1546" hidden="1" x14ac:dyDescent="0.3"/>
    <row r="1547" hidden="1" x14ac:dyDescent="0.3"/>
    <row r="1548" hidden="1" x14ac:dyDescent="0.3"/>
    <row r="1549" hidden="1" x14ac:dyDescent="0.3"/>
    <row r="1550" hidden="1" x14ac:dyDescent="0.3"/>
    <row r="1551" hidden="1" x14ac:dyDescent="0.3"/>
    <row r="1552" hidden="1" x14ac:dyDescent="0.3"/>
    <row r="1553" hidden="1" x14ac:dyDescent="0.3"/>
    <row r="1554" hidden="1" x14ac:dyDescent="0.3"/>
    <row r="1555" hidden="1" x14ac:dyDescent="0.3"/>
    <row r="1556" hidden="1" x14ac:dyDescent="0.3"/>
    <row r="1557" hidden="1" x14ac:dyDescent="0.3"/>
    <row r="1558" hidden="1" x14ac:dyDescent="0.3"/>
    <row r="1559" hidden="1" x14ac:dyDescent="0.3"/>
    <row r="1560" hidden="1" x14ac:dyDescent="0.3"/>
    <row r="1561" hidden="1" x14ac:dyDescent="0.3"/>
    <row r="1562" hidden="1" x14ac:dyDescent="0.3"/>
    <row r="1563" hidden="1" x14ac:dyDescent="0.3"/>
    <row r="1564" hidden="1" x14ac:dyDescent="0.3"/>
    <row r="1565" hidden="1" x14ac:dyDescent="0.3"/>
    <row r="1566" hidden="1" x14ac:dyDescent="0.3"/>
    <row r="1567" hidden="1" x14ac:dyDescent="0.3"/>
    <row r="1568" hidden="1" x14ac:dyDescent="0.3"/>
    <row r="1569" hidden="1" x14ac:dyDescent="0.3"/>
    <row r="1570" hidden="1" x14ac:dyDescent="0.3"/>
    <row r="1571" hidden="1" x14ac:dyDescent="0.3"/>
    <row r="1572" hidden="1" x14ac:dyDescent="0.3"/>
    <row r="1573" hidden="1" x14ac:dyDescent="0.3"/>
    <row r="1574" hidden="1" x14ac:dyDescent="0.3"/>
    <row r="1575" hidden="1" x14ac:dyDescent="0.3"/>
    <row r="1576" hidden="1" x14ac:dyDescent="0.3"/>
    <row r="1577" hidden="1" x14ac:dyDescent="0.3"/>
    <row r="1578" hidden="1" x14ac:dyDescent="0.3"/>
    <row r="1579" hidden="1" x14ac:dyDescent="0.3"/>
    <row r="1580" hidden="1" x14ac:dyDescent="0.3"/>
    <row r="1581" hidden="1" x14ac:dyDescent="0.3"/>
    <row r="1582" hidden="1" x14ac:dyDescent="0.3"/>
    <row r="1583" hidden="1" x14ac:dyDescent="0.3"/>
    <row r="1584" hidden="1" x14ac:dyDescent="0.3"/>
    <row r="1585" hidden="1" x14ac:dyDescent="0.3"/>
    <row r="1586" hidden="1" x14ac:dyDescent="0.3"/>
    <row r="1587" hidden="1" x14ac:dyDescent="0.3"/>
    <row r="1588" hidden="1" x14ac:dyDescent="0.3"/>
    <row r="1589" hidden="1" x14ac:dyDescent="0.3"/>
    <row r="1590" hidden="1" x14ac:dyDescent="0.3"/>
    <row r="1591" hidden="1" x14ac:dyDescent="0.3"/>
    <row r="1592" hidden="1" x14ac:dyDescent="0.3"/>
    <row r="1593" hidden="1" x14ac:dyDescent="0.3"/>
    <row r="1594" hidden="1" x14ac:dyDescent="0.3"/>
    <row r="1595" hidden="1" x14ac:dyDescent="0.3"/>
    <row r="1596" hidden="1" x14ac:dyDescent="0.3"/>
    <row r="1597" hidden="1" x14ac:dyDescent="0.3"/>
    <row r="1598" hidden="1" x14ac:dyDescent="0.3"/>
    <row r="1599" hidden="1" x14ac:dyDescent="0.3"/>
    <row r="1600" hidden="1" x14ac:dyDescent="0.3"/>
    <row r="1601" hidden="1" x14ac:dyDescent="0.3"/>
    <row r="1602" hidden="1" x14ac:dyDescent="0.3"/>
    <row r="1603" hidden="1" x14ac:dyDescent="0.3"/>
    <row r="1604" hidden="1" x14ac:dyDescent="0.3"/>
    <row r="1605" hidden="1" x14ac:dyDescent="0.3"/>
    <row r="1606" hidden="1" x14ac:dyDescent="0.3"/>
    <row r="1607" hidden="1" x14ac:dyDescent="0.3"/>
    <row r="1608" hidden="1" x14ac:dyDescent="0.3"/>
    <row r="1609" hidden="1" x14ac:dyDescent="0.3"/>
    <row r="1610" hidden="1" x14ac:dyDescent="0.3"/>
    <row r="1611" hidden="1" x14ac:dyDescent="0.3"/>
    <row r="1612" hidden="1" x14ac:dyDescent="0.3"/>
    <row r="1613" hidden="1" x14ac:dyDescent="0.3"/>
    <row r="1614" hidden="1" x14ac:dyDescent="0.3"/>
    <row r="1615" hidden="1" x14ac:dyDescent="0.3"/>
    <row r="1616" hidden="1" x14ac:dyDescent="0.3"/>
    <row r="1617" hidden="1" x14ac:dyDescent="0.3"/>
    <row r="1618" hidden="1" x14ac:dyDescent="0.3"/>
    <row r="1619" hidden="1" x14ac:dyDescent="0.3"/>
    <row r="1620" hidden="1" x14ac:dyDescent="0.3"/>
    <row r="1621" hidden="1" x14ac:dyDescent="0.3"/>
    <row r="1622" hidden="1" x14ac:dyDescent="0.3"/>
    <row r="1623" hidden="1" x14ac:dyDescent="0.3"/>
    <row r="1624" hidden="1" x14ac:dyDescent="0.3"/>
    <row r="1625" hidden="1" x14ac:dyDescent="0.3"/>
    <row r="1626" hidden="1" x14ac:dyDescent="0.3"/>
    <row r="1627" hidden="1" x14ac:dyDescent="0.3"/>
    <row r="1628" hidden="1" x14ac:dyDescent="0.3"/>
    <row r="1629" hidden="1" x14ac:dyDescent="0.3"/>
    <row r="1630" hidden="1" x14ac:dyDescent="0.3"/>
    <row r="1631" hidden="1" x14ac:dyDescent="0.3"/>
    <row r="1632" hidden="1" x14ac:dyDescent="0.3"/>
    <row r="1633" hidden="1" x14ac:dyDescent="0.3"/>
    <row r="1634" hidden="1" x14ac:dyDescent="0.3"/>
    <row r="1635" hidden="1" x14ac:dyDescent="0.3"/>
    <row r="1636" hidden="1" x14ac:dyDescent="0.3"/>
    <row r="1637" hidden="1" x14ac:dyDescent="0.3"/>
    <row r="1638" hidden="1" x14ac:dyDescent="0.3"/>
    <row r="1639" hidden="1" x14ac:dyDescent="0.3"/>
    <row r="1640" hidden="1" x14ac:dyDescent="0.3"/>
    <row r="1641" hidden="1" x14ac:dyDescent="0.3"/>
    <row r="1642" hidden="1" x14ac:dyDescent="0.3"/>
    <row r="1643" hidden="1" x14ac:dyDescent="0.3"/>
    <row r="1644" hidden="1" x14ac:dyDescent="0.3"/>
    <row r="1645" hidden="1" x14ac:dyDescent="0.3"/>
    <row r="1646" hidden="1" x14ac:dyDescent="0.3"/>
    <row r="1647" hidden="1" x14ac:dyDescent="0.3"/>
    <row r="1648" hidden="1" x14ac:dyDescent="0.3"/>
    <row r="1649" hidden="1" x14ac:dyDescent="0.3"/>
    <row r="1650" hidden="1" x14ac:dyDescent="0.3"/>
    <row r="1651" hidden="1" x14ac:dyDescent="0.3"/>
    <row r="1652" hidden="1" x14ac:dyDescent="0.3"/>
    <row r="1653" hidden="1" x14ac:dyDescent="0.3"/>
    <row r="1654" hidden="1" x14ac:dyDescent="0.3"/>
    <row r="1655" hidden="1" x14ac:dyDescent="0.3"/>
    <row r="1656" hidden="1" x14ac:dyDescent="0.3"/>
    <row r="1657" hidden="1" x14ac:dyDescent="0.3"/>
    <row r="1658" hidden="1" x14ac:dyDescent="0.3"/>
    <row r="1659" hidden="1" x14ac:dyDescent="0.3"/>
    <row r="1660" hidden="1" x14ac:dyDescent="0.3"/>
    <row r="1661" hidden="1" x14ac:dyDescent="0.3"/>
    <row r="1662" hidden="1" x14ac:dyDescent="0.3"/>
    <row r="1663" hidden="1" x14ac:dyDescent="0.3"/>
    <row r="1664" hidden="1" x14ac:dyDescent="0.3"/>
    <row r="1665" hidden="1" x14ac:dyDescent="0.3"/>
    <row r="1666" hidden="1" x14ac:dyDescent="0.3"/>
    <row r="1667" hidden="1" x14ac:dyDescent="0.3"/>
    <row r="1668" hidden="1" x14ac:dyDescent="0.3"/>
    <row r="1669" hidden="1" x14ac:dyDescent="0.3"/>
    <row r="1670" hidden="1" x14ac:dyDescent="0.3"/>
    <row r="1671" hidden="1" x14ac:dyDescent="0.3"/>
    <row r="1672" hidden="1" x14ac:dyDescent="0.3"/>
    <row r="1673" hidden="1" x14ac:dyDescent="0.3"/>
    <row r="1674" hidden="1" x14ac:dyDescent="0.3"/>
    <row r="1675" hidden="1" x14ac:dyDescent="0.3"/>
    <row r="1676" hidden="1" x14ac:dyDescent="0.3"/>
    <row r="1677" hidden="1" x14ac:dyDescent="0.3"/>
    <row r="1678" hidden="1" x14ac:dyDescent="0.3"/>
    <row r="1679" hidden="1" x14ac:dyDescent="0.3"/>
    <row r="1680" hidden="1" x14ac:dyDescent="0.3"/>
    <row r="1681" hidden="1" x14ac:dyDescent="0.3"/>
    <row r="1682" hidden="1" x14ac:dyDescent="0.3"/>
    <row r="1683" hidden="1" x14ac:dyDescent="0.3"/>
    <row r="1684" hidden="1" x14ac:dyDescent="0.3"/>
    <row r="1685" hidden="1" x14ac:dyDescent="0.3"/>
    <row r="1686" hidden="1" x14ac:dyDescent="0.3"/>
    <row r="1687" hidden="1" x14ac:dyDescent="0.3"/>
    <row r="1688" hidden="1" x14ac:dyDescent="0.3"/>
    <row r="1689" hidden="1" x14ac:dyDescent="0.3"/>
    <row r="1690" hidden="1" x14ac:dyDescent="0.3"/>
    <row r="1691" hidden="1" x14ac:dyDescent="0.3"/>
    <row r="1692" hidden="1" x14ac:dyDescent="0.3"/>
    <row r="1693" hidden="1" x14ac:dyDescent="0.3"/>
    <row r="1694" hidden="1" x14ac:dyDescent="0.3"/>
    <row r="1695" hidden="1" x14ac:dyDescent="0.3"/>
    <row r="1696" hidden="1" x14ac:dyDescent="0.3"/>
    <row r="1697" hidden="1" x14ac:dyDescent="0.3"/>
    <row r="1698" hidden="1" x14ac:dyDescent="0.3"/>
    <row r="1699" hidden="1" x14ac:dyDescent="0.3"/>
    <row r="1700" hidden="1" x14ac:dyDescent="0.3"/>
    <row r="1701" hidden="1" x14ac:dyDescent="0.3"/>
    <row r="1702" hidden="1" x14ac:dyDescent="0.3"/>
    <row r="1703" hidden="1" x14ac:dyDescent="0.3"/>
    <row r="1704" hidden="1" x14ac:dyDescent="0.3"/>
    <row r="1705" hidden="1" x14ac:dyDescent="0.3"/>
    <row r="1706" hidden="1" x14ac:dyDescent="0.3"/>
    <row r="1707" hidden="1" x14ac:dyDescent="0.3"/>
    <row r="1708" hidden="1" x14ac:dyDescent="0.3"/>
    <row r="1709" hidden="1" x14ac:dyDescent="0.3"/>
    <row r="1710" hidden="1" x14ac:dyDescent="0.3"/>
    <row r="1711" hidden="1" x14ac:dyDescent="0.3"/>
    <row r="1712" hidden="1" x14ac:dyDescent="0.3"/>
    <row r="1713" hidden="1" x14ac:dyDescent="0.3"/>
    <row r="1714" hidden="1" x14ac:dyDescent="0.3"/>
    <row r="1715" hidden="1" x14ac:dyDescent="0.3"/>
    <row r="1716" hidden="1" x14ac:dyDescent="0.3"/>
    <row r="1717" hidden="1" x14ac:dyDescent="0.3"/>
    <row r="1718" hidden="1" x14ac:dyDescent="0.3"/>
    <row r="1719" hidden="1" x14ac:dyDescent="0.3"/>
    <row r="1720" hidden="1" x14ac:dyDescent="0.3"/>
    <row r="1721" hidden="1" x14ac:dyDescent="0.3"/>
    <row r="1722" hidden="1" x14ac:dyDescent="0.3"/>
    <row r="1723" hidden="1" x14ac:dyDescent="0.3"/>
    <row r="1724" hidden="1" x14ac:dyDescent="0.3"/>
    <row r="1725" hidden="1" x14ac:dyDescent="0.3"/>
    <row r="1726" hidden="1" x14ac:dyDescent="0.3"/>
    <row r="1727" hidden="1" x14ac:dyDescent="0.3"/>
    <row r="1728" hidden="1" x14ac:dyDescent="0.3"/>
    <row r="1729" hidden="1" x14ac:dyDescent="0.3"/>
    <row r="1730" hidden="1" x14ac:dyDescent="0.3"/>
    <row r="1731" hidden="1" x14ac:dyDescent="0.3"/>
    <row r="1732" hidden="1" x14ac:dyDescent="0.3"/>
    <row r="1733" hidden="1" x14ac:dyDescent="0.3"/>
    <row r="1734" hidden="1" x14ac:dyDescent="0.3"/>
    <row r="1735" hidden="1" x14ac:dyDescent="0.3"/>
    <row r="1736" hidden="1" x14ac:dyDescent="0.3"/>
    <row r="1737" hidden="1" x14ac:dyDescent="0.3"/>
    <row r="1738" hidden="1" x14ac:dyDescent="0.3"/>
    <row r="1739" hidden="1" x14ac:dyDescent="0.3"/>
    <row r="1740" hidden="1" x14ac:dyDescent="0.3"/>
    <row r="1741" hidden="1" x14ac:dyDescent="0.3"/>
    <row r="1742" hidden="1" x14ac:dyDescent="0.3"/>
    <row r="1743" hidden="1" x14ac:dyDescent="0.3"/>
    <row r="1744" hidden="1" x14ac:dyDescent="0.3"/>
    <row r="1745" hidden="1" x14ac:dyDescent="0.3"/>
    <row r="1746" hidden="1" x14ac:dyDescent="0.3"/>
    <row r="1747" hidden="1" x14ac:dyDescent="0.3"/>
    <row r="1748" hidden="1" x14ac:dyDescent="0.3"/>
    <row r="1749" hidden="1" x14ac:dyDescent="0.3"/>
    <row r="1750" hidden="1" x14ac:dyDescent="0.3"/>
    <row r="1751" hidden="1" x14ac:dyDescent="0.3"/>
    <row r="1752" hidden="1" x14ac:dyDescent="0.3"/>
    <row r="1753" hidden="1" x14ac:dyDescent="0.3"/>
    <row r="1754" hidden="1" x14ac:dyDescent="0.3"/>
    <row r="1755" hidden="1" x14ac:dyDescent="0.3"/>
    <row r="1756" hidden="1" x14ac:dyDescent="0.3"/>
    <row r="1757" hidden="1" x14ac:dyDescent="0.3"/>
    <row r="1758" hidden="1" x14ac:dyDescent="0.3"/>
    <row r="1759" hidden="1" x14ac:dyDescent="0.3"/>
    <row r="1760" hidden="1" x14ac:dyDescent="0.3"/>
    <row r="1761" hidden="1" x14ac:dyDescent="0.3"/>
    <row r="1762" hidden="1" x14ac:dyDescent="0.3"/>
    <row r="1763" hidden="1" x14ac:dyDescent="0.3"/>
    <row r="1764" hidden="1" x14ac:dyDescent="0.3"/>
    <row r="1765" hidden="1" x14ac:dyDescent="0.3"/>
    <row r="1766" hidden="1" x14ac:dyDescent="0.3"/>
    <row r="1767" hidden="1" x14ac:dyDescent="0.3"/>
    <row r="1768" hidden="1" x14ac:dyDescent="0.3"/>
    <row r="1769" hidden="1" x14ac:dyDescent="0.3"/>
    <row r="1770" hidden="1" x14ac:dyDescent="0.3"/>
    <row r="1771" hidden="1" x14ac:dyDescent="0.3"/>
    <row r="1772" hidden="1" x14ac:dyDescent="0.3"/>
    <row r="1773" hidden="1" x14ac:dyDescent="0.3"/>
    <row r="1774" hidden="1" x14ac:dyDescent="0.3"/>
    <row r="1775" hidden="1" x14ac:dyDescent="0.3"/>
    <row r="1776" hidden="1" x14ac:dyDescent="0.3"/>
    <row r="1777" hidden="1" x14ac:dyDescent="0.3"/>
    <row r="1778" hidden="1" x14ac:dyDescent="0.3"/>
    <row r="1779" hidden="1" x14ac:dyDescent="0.3"/>
    <row r="1780" hidden="1" x14ac:dyDescent="0.3"/>
    <row r="1781" hidden="1" x14ac:dyDescent="0.3"/>
    <row r="1782" hidden="1" x14ac:dyDescent="0.3"/>
    <row r="1783" hidden="1" x14ac:dyDescent="0.3"/>
    <row r="1784" hidden="1" x14ac:dyDescent="0.3"/>
    <row r="1785" hidden="1" x14ac:dyDescent="0.3"/>
    <row r="1786" hidden="1" x14ac:dyDescent="0.3"/>
    <row r="1787" hidden="1" x14ac:dyDescent="0.3"/>
    <row r="1788" hidden="1" x14ac:dyDescent="0.3"/>
    <row r="1789" hidden="1" x14ac:dyDescent="0.3"/>
    <row r="1790" hidden="1" x14ac:dyDescent="0.3"/>
    <row r="1791" hidden="1" x14ac:dyDescent="0.3"/>
    <row r="1792" hidden="1" x14ac:dyDescent="0.3"/>
    <row r="1793" hidden="1" x14ac:dyDescent="0.3"/>
    <row r="1794" hidden="1" x14ac:dyDescent="0.3"/>
    <row r="1795" hidden="1" x14ac:dyDescent="0.3"/>
    <row r="1796" hidden="1" x14ac:dyDescent="0.3"/>
    <row r="1797" hidden="1" x14ac:dyDescent="0.3"/>
    <row r="1798" hidden="1" x14ac:dyDescent="0.3"/>
    <row r="1799" hidden="1" x14ac:dyDescent="0.3"/>
    <row r="1800" hidden="1" x14ac:dyDescent="0.3"/>
    <row r="1801" hidden="1" x14ac:dyDescent="0.3"/>
    <row r="1802" hidden="1" x14ac:dyDescent="0.3"/>
    <row r="1803" hidden="1" x14ac:dyDescent="0.3"/>
    <row r="1804" hidden="1" x14ac:dyDescent="0.3"/>
    <row r="1805" hidden="1" x14ac:dyDescent="0.3"/>
    <row r="1806" hidden="1" x14ac:dyDescent="0.3"/>
    <row r="1807" hidden="1" x14ac:dyDescent="0.3"/>
    <row r="1808" hidden="1" x14ac:dyDescent="0.3"/>
    <row r="1809" hidden="1" x14ac:dyDescent="0.3"/>
    <row r="1810" hidden="1" x14ac:dyDescent="0.3"/>
    <row r="1811" hidden="1" x14ac:dyDescent="0.3"/>
    <row r="1812" hidden="1" x14ac:dyDescent="0.3"/>
    <row r="1813" hidden="1" x14ac:dyDescent="0.3"/>
    <row r="1814" hidden="1" x14ac:dyDescent="0.3"/>
    <row r="1815" hidden="1" x14ac:dyDescent="0.3"/>
    <row r="1816" hidden="1" x14ac:dyDescent="0.3"/>
    <row r="1817" hidden="1" x14ac:dyDescent="0.3"/>
    <row r="1818" hidden="1" x14ac:dyDescent="0.3"/>
    <row r="1819" hidden="1" x14ac:dyDescent="0.3"/>
    <row r="1820" hidden="1" x14ac:dyDescent="0.3"/>
    <row r="1821" hidden="1" x14ac:dyDescent="0.3"/>
    <row r="1822" hidden="1" x14ac:dyDescent="0.3"/>
    <row r="1823" hidden="1" x14ac:dyDescent="0.3"/>
    <row r="1824" hidden="1" x14ac:dyDescent="0.3"/>
    <row r="1825" hidden="1" x14ac:dyDescent="0.3"/>
    <row r="1826" hidden="1" x14ac:dyDescent="0.3"/>
    <row r="1827" hidden="1" x14ac:dyDescent="0.3"/>
    <row r="1828" hidden="1" x14ac:dyDescent="0.3"/>
    <row r="1829" hidden="1" x14ac:dyDescent="0.3"/>
    <row r="1830" hidden="1" x14ac:dyDescent="0.3"/>
    <row r="1831" hidden="1" x14ac:dyDescent="0.3"/>
    <row r="1832" hidden="1" x14ac:dyDescent="0.3"/>
    <row r="1833" hidden="1" x14ac:dyDescent="0.3"/>
    <row r="1834" hidden="1" x14ac:dyDescent="0.3"/>
    <row r="1835" hidden="1" x14ac:dyDescent="0.3"/>
    <row r="1836" hidden="1" x14ac:dyDescent="0.3"/>
    <row r="1837" hidden="1" x14ac:dyDescent="0.3"/>
    <row r="1838" hidden="1" x14ac:dyDescent="0.3"/>
    <row r="1839" hidden="1" x14ac:dyDescent="0.3"/>
    <row r="1840" hidden="1" x14ac:dyDescent="0.3"/>
    <row r="1841" hidden="1" x14ac:dyDescent="0.3"/>
    <row r="1842" hidden="1" x14ac:dyDescent="0.3"/>
    <row r="1843" hidden="1" x14ac:dyDescent="0.3"/>
    <row r="1844" hidden="1" x14ac:dyDescent="0.3"/>
    <row r="1845" hidden="1" x14ac:dyDescent="0.3"/>
    <row r="1846" hidden="1" x14ac:dyDescent="0.3"/>
    <row r="1847" hidden="1" x14ac:dyDescent="0.3"/>
    <row r="1848" hidden="1" x14ac:dyDescent="0.3"/>
    <row r="1849" hidden="1" x14ac:dyDescent="0.3"/>
    <row r="1850" hidden="1" x14ac:dyDescent="0.3"/>
    <row r="1851" hidden="1" x14ac:dyDescent="0.3"/>
    <row r="1852" hidden="1" x14ac:dyDescent="0.3"/>
    <row r="1853" hidden="1" x14ac:dyDescent="0.3"/>
    <row r="1854" hidden="1" x14ac:dyDescent="0.3"/>
    <row r="1855" hidden="1" x14ac:dyDescent="0.3"/>
    <row r="1856" hidden="1" x14ac:dyDescent="0.3"/>
    <row r="1857" hidden="1" x14ac:dyDescent="0.3"/>
    <row r="1858" hidden="1" x14ac:dyDescent="0.3"/>
    <row r="1859" hidden="1" x14ac:dyDescent="0.3"/>
    <row r="1860" hidden="1" x14ac:dyDescent="0.3"/>
    <row r="1861" hidden="1" x14ac:dyDescent="0.3"/>
    <row r="1862" hidden="1" x14ac:dyDescent="0.3"/>
    <row r="1863" hidden="1" x14ac:dyDescent="0.3"/>
    <row r="1864" hidden="1" x14ac:dyDescent="0.3"/>
    <row r="1865" hidden="1" x14ac:dyDescent="0.3"/>
    <row r="1866" hidden="1" x14ac:dyDescent="0.3"/>
    <row r="1867" hidden="1" x14ac:dyDescent="0.3"/>
    <row r="1868" hidden="1" x14ac:dyDescent="0.3"/>
    <row r="1869" hidden="1" x14ac:dyDescent="0.3"/>
    <row r="1870" hidden="1" x14ac:dyDescent="0.3"/>
    <row r="1871" hidden="1" x14ac:dyDescent="0.3"/>
    <row r="1872" hidden="1" x14ac:dyDescent="0.3"/>
    <row r="1873" hidden="1" x14ac:dyDescent="0.3"/>
    <row r="1874" hidden="1" x14ac:dyDescent="0.3"/>
    <row r="1875" hidden="1" x14ac:dyDescent="0.3"/>
    <row r="1876" hidden="1" x14ac:dyDescent="0.3"/>
    <row r="1877" hidden="1" x14ac:dyDescent="0.3"/>
    <row r="1878" hidden="1" x14ac:dyDescent="0.3"/>
    <row r="1879" hidden="1" x14ac:dyDescent="0.3"/>
    <row r="1880" hidden="1" x14ac:dyDescent="0.3"/>
    <row r="1881" hidden="1" x14ac:dyDescent="0.3"/>
    <row r="1882" hidden="1" x14ac:dyDescent="0.3"/>
    <row r="1883" hidden="1" x14ac:dyDescent="0.3"/>
    <row r="1884" hidden="1" x14ac:dyDescent="0.3"/>
    <row r="1885" hidden="1" x14ac:dyDescent="0.3"/>
    <row r="1886" hidden="1" x14ac:dyDescent="0.3"/>
    <row r="1887" hidden="1" x14ac:dyDescent="0.3"/>
    <row r="1888" hidden="1" x14ac:dyDescent="0.3"/>
    <row r="1889" hidden="1" x14ac:dyDescent="0.3"/>
    <row r="1890" hidden="1" x14ac:dyDescent="0.3"/>
    <row r="1891" hidden="1" x14ac:dyDescent="0.3"/>
    <row r="1892" hidden="1" x14ac:dyDescent="0.3"/>
    <row r="1893" hidden="1" x14ac:dyDescent="0.3"/>
    <row r="1894" hidden="1" x14ac:dyDescent="0.3"/>
    <row r="1895" hidden="1" x14ac:dyDescent="0.3"/>
    <row r="1896" hidden="1" x14ac:dyDescent="0.3"/>
    <row r="1897" hidden="1" x14ac:dyDescent="0.3"/>
    <row r="1898" hidden="1" x14ac:dyDescent="0.3"/>
    <row r="1899" hidden="1" x14ac:dyDescent="0.3"/>
    <row r="1900" hidden="1" x14ac:dyDescent="0.3"/>
    <row r="1901" hidden="1" x14ac:dyDescent="0.3"/>
    <row r="1902" hidden="1" x14ac:dyDescent="0.3"/>
    <row r="1903" hidden="1" x14ac:dyDescent="0.3"/>
    <row r="1904" hidden="1" x14ac:dyDescent="0.3"/>
    <row r="1905" hidden="1" x14ac:dyDescent="0.3"/>
    <row r="1906" hidden="1" x14ac:dyDescent="0.3"/>
    <row r="1907" hidden="1" x14ac:dyDescent="0.3"/>
    <row r="1908" hidden="1" x14ac:dyDescent="0.3"/>
    <row r="1909" hidden="1" x14ac:dyDescent="0.3"/>
    <row r="1910" hidden="1" x14ac:dyDescent="0.3"/>
    <row r="1911" hidden="1" x14ac:dyDescent="0.3"/>
    <row r="1912" hidden="1" x14ac:dyDescent="0.3"/>
    <row r="1913" hidden="1" x14ac:dyDescent="0.3"/>
    <row r="1914" hidden="1" x14ac:dyDescent="0.3"/>
    <row r="1915" hidden="1" x14ac:dyDescent="0.3"/>
    <row r="1916" hidden="1" x14ac:dyDescent="0.3"/>
    <row r="1917" hidden="1" x14ac:dyDescent="0.3"/>
    <row r="1918" hidden="1" x14ac:dyDescent="0.3"/>
    <row r="1919" hidden="1" x14ac:dyDescent="0.3"/>
    <row r="1920" hidden="1" x14ac:dyDescent="0.3"/>
    <row r="1921" hidden="1" x14ac:dyDescent="0.3"/>
    <row r="1922" hidden="1" x14ac:dyDescent="0.3"/>
    <row r="1923" hidden="1" x14ac:dyDescent="0.3"/>
    <row r="1924" hidden="1" x14ac:dyDescent="0.3"/>
    <row r="1925" hidden="1" x14ac:dyDescent="0.3"/>
    <row r="1926" hidden="1" x14ac:dyDescent="0.3"/>
    <row r="1927" hidden="1" x14ac:dyDescent="0.3"/>
    <row r="1928" hidden="1" x14ac:dyDescent="0.3"/>
    <row r="1929" hidden="1" x14ac:dyDescent="0.3"/>
    <row r="1930" hidden="1" x14ac:dyDescent="0.3"/>
    <row r="1931" hidden="1" x14ac:dyDescent="0.3"/>
    <row r="1932" hidden="1" x14ac:dyDescent="0.3"/>
    <row r="1933" hidden="1" x14ac:dyDescent="0.3"/>
    <row r="1934" hidden="1" x14ac:dyDescent="0.3"/>
    <row r="1935" hidden="1" x14ac:dyDescent="0.3"/>
    <row r="1936" hidden="1" x14ac:dyDescent="0.3"/>
    <row r="1937" hidden="1" x14ac:dyDescent="0.3"/>
    <row r="1938" hidden="1" x14ac:dyDescent="0.3"/>
    <row r="1939" hidden="1" x14ac:dyDescent="0.3"/>
    <row r="1940" hidden="1" x14ac:dyDescent="0.3"/>
    <row r="1941" hidden="1" x14ac:dyDescent="0.3"/>
    <row r="1942" hidden="1" x14ac:dyDescent="0.3"/>
    <row r="1943" hidden="1" x14ac:dyDescent="0.3"/>
    <row r="1944" hidden="1" x14ac:dyDescent="0.3"/>
    <row r="1945" hidden="1" x14ac:dyDescent="0.3"/>
    <row r="1946" hidden="1" x14ac:dyDescent="0.3"/>
    <row r="1947" hidden="1" x14ac:dyDescent="0.3"/>
    <row r="1948" hidden="1" x14ac:dyDescent="0.3"/>
    <row r="1949" hidden="1" x14ac:dyDescent="0.3"/>
    <row r="1950" hidden="1" x14ac:dyDescent="0.3"/>
    <row r="1951" hidden="1" x14ac:dyDescent="0.3"/>
    <row r="1952" hidden="1" x14ac:dyDescent="0.3"/>
    <row r="1953" hidden="1" x14ac:dyDescent="0.3"/>
    <row r="1954" hidden="1" x14ac:dyDescent="0.3"/>
    <row r="1955" hidden="1" x14ac:dyDescent="0.3"/>
    <row r="1956" hidden="1" x14ac:dyDescent="0.3"/>
    <row r="1957" hidden="1" x14ac:dyDescent="0.3"/>
    <row r="1958" hidden="1" x14ac:dyDescent="0.3"/>
    <row r="1959" hidden="1" x14ac:dyDescent="0.3"/>
    <row r="1960" hidden="1" x14ac:dyDescent="0.3"/>
    <row r="1961" hidden="1" x14ac:dyDescent="0.3"/>
    <row r="1962" hidden="1" x14ac:dyDescent="0.3"/>
    <row r="1963" hidden="1" x14ac:dyDescent="0.3"/>
    <row r="1964" hidden="1" x14ac:dyDescent="0.3"/>
    <row r="1965" hidden="1" x14ac:dyDescent="0.3"/>
    <row r="1966" hidden="1" x14ac:dyDescent="0.3"/>
    <row r="1967" hidden="1" x14ac:dyDescent="0.3"/>
    <row r="1968" hidden="1" x14ac:dyDescent="0.3"/>
    <row r="1969" hidden="1" x14ac:dyDescent="0.3"/>
    <row r="1970" hidden="1" x14ac:dyDescent="0.3"/>
    <row r="1971" hidden="1" x14ac:dyDescent="0.3"/>
    <row r="1972" hidden="1" x14ac:dyDescent="0.3"/>
    <row r="1973" hidden="1" x14ac:dyDescent="0.3"/>
    <row r="1974" hidden="1" x14ac:dyDescent="0.3"/>
    <row r="1975" hidden="1" x14ac:dyDescent="0.3"/>
    <row r="1976" hidden="1" x14ac:dyDescent="0.3"/>
    <row r="1977" hidden="1" x14ac:dyDescent="0.3"/>
    <row r="1978" hidden="1" x14ac:dyDescent="0.3"/>
    <row r="1979" hidden="1" x14ac:dyDescent="0.3"/>
    <row r="1980" hidden="1" x14ac:dyDescent="0.3"/>
    <row r="1981" hidden="1" x14ac:dyDescent="0.3"/>
    <row r="1982" hidden="1" x14ac:dyDescent="0.3"/>
    <row r="1983" hidden="1" x14ac:dyDescent="0.3"/>
    <row r="1984" hidden="1" x14ac:dyDescent="0.3"/>
    <row r="1985" hidden="1" x14ac:dyDescent="0.3"/>
    <row r="1986" hidden="1" x14ac:dyDescent="0.3"/>
    <row r="1987" hidden="1" x14ac:dyDescent="0.3"/>
    <row r="1988" hidden="1" x14ac:dyDescent="0.3"/>
    <row r="1989" hidden="1" x14ac:dyDescent="0.3"/>
    <row r="1990" hidden="1" x14ac:dyDescent="0.3"/>
    <row r="1991" hidden="1" x14ac:dyDescent="0.3"/>
    <row r="1992" hidden="1" x14ac:dyDescent="0.3"/>
    <row r="1993" hidden="1" x14ac:dyDescent="0.3"/>
    <row r="1994" hidden="1" x14ac:dyDescent="0.3"/>
    <row r="1995" hidden="1" x14ac:dyDescent="0.3"/>
    <row r="1996" hidden="1" x14ac:dyDescent="0.3"/>
    <row r="1997" hidden="1" x14ac:dyDescent="0.3"/>
    <row r="1998" hidden="1" x14ac:dyDescent="0.3"/>
    <row r="1999" hidden="1" x14ac:dyDescent="0.3"/>
    <row r="2000" hidden="1" x14ac:dyDescent="0.3"/>
    <row r="2001" hidden="1" x14ac:dyDescent="0.3"/>
    <row r="2002" hidden="1" x14ac:dyDescent="0.3"/>
    <row r="2003" hidden="1" x14ac:dyDescent="0.3"/>
    <row r="2004" hidden="1" x14ac:dyDescent="0.3"/>
    <row r="2005" hidden="1" x14ac:dyDescent="0.3"/>
    <row r="2006" hidden="1" x14ac:dyDescent="0.3"/>
    <row r="2007" hidden="1" x14ac:dyDescent="0.3"/>
    <row r="2008" hidden="1" x14ac:dyDescent="0.3"/>
    <row r="2009" hidden="1" x14ac:dyDescent="0.3"/>
    <row r="2010" hidden="1" x14ac:dyDescent="0.3"/>
    <row r="2011" hidden="1" x14ac:dyDescent="0.3"/>
    <row r="2012" hidden="1" x14ac:dyDescent="0.3"/>
    <row r="2013" hidden="1" x14ac:dyDescent="0.3"/>
    <row r="2014" hidden="1" x14ac:dyDescent="0.3"/>
    <row r="2015" hidden="1" x14ac:dyDescent="0.3"/>
    <row r="2016" hidden="1" x14ac:dyDescent="0.3"/>
    <row r="2017" hidden="1" x14ac:dyDescent="0.3"/>
    <row r="2018" hidden="1" x14ac:dyDescent="0.3"/>
    <row r="2019" hidden="1" x14ac:dyDescent="0.3"/>
    <row r="2020" hidden="1" x14ac:dyDescent="0.3"/>
    <row r="2021" hidden="1" x14ac:dyDescent="0.3"/>
    <row r="2022" hidden="1" x14ac:dyDescent="0.3"/>
    <row r="2023" hidden="1" x14ac:dyDescent="0.3"/>
    <row r="2024" hidden="1" x14ac:dyDescent="0.3"/>
    <row r="2025" hidden="1" x14ac:dyDescent="0.3"/>
    <row r="2026" hidden="1" x14ac:dyDescent="0.3"/>
    <row r="2027" hidden="1" x14ac:dyDescent="0.3"/>
    <row r="2028" hidden="1" x14ac:dyDescent="0.3"/>
    <row r="2029" hidden="1" x14ac:dyDescent="0.3"/>
    <row r="2030" hidden="1" x14ac:dyDescent="0.3"/>
    <row r="2031" hidden="1" x14ac:dyDescent="0.3"/>
    <row r="2032" hidden="1" x14ac:dyDescent="0.3"/>
    <row r="2033" hidden="1" x14ac:dyDescent="0.3"/>
    <row r="2034" hidden="1" x14ac:dyDescent="0.3"/>
    <row r="2035" hidden="1" x14ac:dyDescent="0.3"/>
    <row r="2036" hidden="1" x14ac:dyDescent="0.3"/>
    <row r="2037" hidden="1" x14ac:dyDescent="0.3"/>
    <row r="2038" hidden="1" x14ac:dyDescent="0.3"/>
    <row r="2039" hidden="1" x14ac:dyDescent="0.3"/>
    <row r="2040" hidden="1" x14ac:dyDescent="0.3"/>
    <row r="2041" hidden="1" x14ac:dyDescent="0.3"/>
    <row r="2042" hidden="1" x14ac:dyDescent="0.3"/>
    <row r="2043" hidden="1" x14ac:dyDescent="0.3"/>
    <row r="2044" hidden="1" x14ac:dyDescent="0.3"/>
    <row r="2045" hidden="1" x14ac:dyDescent="0.3"/>
    <row r="2046" hidden="1" x14ac:dyDescent="0.3"/>
    <row r="2047" hidden="1" x14ac:dyDescent="0.3"/>
    <row r="2048" hidden="1" x14ac:dyDescent="0.3"/>
    <row r="2049" hidden="1" x14ac:dyDescent="0.3"/>
    <row r="2050" hidden="1" x14ac:dyDescent="0.3"/>
    <row r="2051" hidden="1" x14ac:dyDescent="0.3"/>
    <row r="2052" hidden="1" x14ac:dyDescent="0.3"/>
    <row r="2053" hidden="1" x14ac:dyDescent="0.3"/>
    <row r="2054" hidden="1" x14ac:dyDescent="0.3"/>
    <row r="2055" hidden="1" x14ac:dyDescent="0.3"/>
    <row r="2056" hidden="1" x14ac:dyDescent="0.3"/>
    <row r="2057" hidden="1" x14ac:dyDescent="0.3"/>
    <row r="2058" hidden="1" x14ac:dyDescent="0.3"/>
    <row r="2059" hidden="1" x14ac:dyDescent="0.3"/>
    <row r="2060" hidden="1" x14ac:dyDescent="0.3"/>
    <row r="2061" hidden="1" x14ac:dyDescent="0.3"/>
    <row r="2062" hidden="1" x14ac:dyDescent="0.3"/>
    <row r="2063" hidden="1" x14ac:dyDescent="0.3"/>
    <row r="2064" hidden="1" x14ac:dyDescent="0.3"/>
    <row r="2065" hidden="1" x14ac:dyDescent="0.3"/>
    <row r="2066" hidden="1" x14ac:dyDescent="0.3"/>
    <row r="2067" hidden="1" x14ac:dyDescent="0.3"/>
    <row r="2068" hidden="1" x14ac:dyDescent="0.3"/>
    <row r="2069" hidden="1" x14ac:dyDescent="0.3"/>
    <row r="2070" hidden="1" x14ac:dyDescent="0.3"/>
    <row r="2071" hidden="1" x14ac:dyDescent="0.3"/>
    <row r="2072" hidden="1" x14ac:dyDescent="0.3"/>
    <row r="2073" hidden="1" x14ac:dyDescent="0.3"/>
    <row r="2074" hidden="1" x14ac:dyDescent="0.3"/>
    <row r="2075" hidden="1" x14ac:dyDescent="0.3"/>
    <row r="2076" hidden="1" x14ac:dyDescent="0.3"/>
    <row r="2077" hidden="1" x14ac:dyDescent="0.3"/>
    <row r="2078" hidden="1" x14ac:dyDescent="0.3"/>
    <row r="2079" hidden="1" x14ac:dyDescent="0.3"/>
    <row r="2080" hidden="1" x14ac:dyDescent="0.3"/>
    <row r="2081" hidden="1" x14ac:dyDescent="0.3"/>
    <row r="2082" hidden="1" x14ac:dyDescent="0.3"/>
    <row r="2083" hidden="1" x14ac:dyDescent="0.3"/>
    <row r="2084" hidden="1" x14ac:dyDescent="0.3"/>
    <row r="2085" hidden="1" x14ac:dyDescent="0.3"/>
    <row r="2086" hidden="1" x14ac:dyDescent="0.3"/>
    <row r="2087" hidden="1" x14ac:dyDescent="0.3"/>
    <row r="2088" hidden="1" x14ac:dyDescent="0.3"/>
    <row r="2089" hidden="1" x14ac:dyDescent="0.3"/>
    <row r="2090" hidden="1" x14ac:dyDescent="0.3"/>
    <row r="2091" hidden="1" x14ac:dyDescent="0.3"/>
    <row r="2092" hidden="1" x14ac:dyDescent="0.3"/>
    <row r="2093" hidden="1" x14ac:dyDescent="0.3"/>
    <row r="2094" hidden="1" x14ac:dyDescent="0.3"/>
    <row r="2095" hidden="1" x14ac:dyDescent="0.3"/>
    <row r="2096" hidden="1" x14ac:dyDescent="0.3"/>
    <row r="2097" hidden="1" x14ac:dyDescent="0.3"/>
    <row r="2098" hidden="1" x14ac:dyDescent="0.3"/>
    <row r="2099" hidden="1" x14ac:dyDescent="0.3"/>
    <row r="2100" hidden="1" x14ac:dyDescent="0.3"/>
    <row r="2101" hidden="1" x14ac:dyDescent="0.3"/>
    <row r="2102" hidden="1" x14ac:dyDescent="0.3"/>
    <row r="2103" hidden="1" x14ac:dyDescent="0.3"/>
    <row r="2104" hidden="1" x14ac:dyDescent="0.3"/>
    <row r="2105" hidden="1" x14ac:dyDescent="0.3"/>
    <row r="2106" hidden="1" x14ac:dyDescent="0.3"/>
    <row r="2107" hidden="1" x14ac:dyDescent="0.3"/>
    <row r="2108" hidden="1" x14ac:dyDescent="0.3"/>
    <row r="2109" hidden="1" x14ac:dyDescent="0.3"/>
    <row r="2110" hidden="1" x14ac:dyDescent="0.3"/>
    <row r="2111" hidden="1" x14ac:dyDescent="0.3"/>
    <row r="2112" hidden="1" x14ac:dyDescent="0.3"/>
    <row r="2113" hidden="1" x14ac:dyDescent="0.3"/>
    <row r="2114" hidden="1" x14ac:dyDescent="0.3"/>
    <row r="2115" hidden="1" x14ac:dyDescent="0.3"/>
    <row r="2116" hidden="1" x14ac:dyDescent="0.3"/>
    <row r="2117" hidden="1" x14ac:dyDescent="0.3"/>
    <row r="2118" hidden="1" x14ac:dyDescent="0.3"/>
    <row r="2119" hidden="1" x14ac:dyDescent="0.3"/>
    <row r="2120" hidden="1" x14ac:dyDescent="0.3"/>
    <row r="2121" hidden="1" x14ac:dyDescent="0.3"/>
    <row r="2122" hidden="1" x14ac:dyDescent="0.3"/>
    <row r="2123" hidden="1" x14ac:dyDescent="0.3"/>
    <row r="2124" hidden="1" x14ac:dyDescent="0.3"/>
    <row r="2125" hidden="1" x14ac:dyDescent="0.3"/>
    <row r="2126" hidden="1" x14ac:dyDescent="0.3"/>
    <row r="2127" hidden="1" x14ac:dyDescent="0.3"/>
    <row r="2128" hidden="1" x14ac:dyDescent="0.3"/>
    <row r="2129" hidden="1" x14ac:dyDescent="0.3"/>
    <row r="2130" hidden="1" x14ac:dyDescent="0.3"/>
    <row r="2131" hidden="1" x14ac:dyDescent="0.3"/>
    <row r="2132" hidden="1" x14ac:dyDescent="0.3"/>
    <row r="2133" hidden="1" x14ac:dyDescent="0.3"/>
    <row r="2134" hidden="1" x14ac:dyDescent="0.3"/>
    <row r="2135" hidden="1" x14ac:dyDescent="0.3"/>
    <row r="2136" hidden="1" x14ac:dyDescent="0.3"/>
    <row r="2137" hidden="1" x14ac:dyDescent="0.3"/>
    <row r="2138" hidden="1" x14ac:dyDescent="0.3"/>
    <row r="2139" hidden="1" x14ac:dyDescent="0.3"/>
    <row r="2140" hidden="1" x14ac:dyDescent="0.3"/>
    <row r="2141" hidden="1" x14ac:dyDescent="0.3"/>
    <row r="2142" hidden="1" x14ac:dyDescent="0.3"/>
    <row r="2143" hidden="1" x14ac:dyDescent="0.3"/>
    <row r="2144" hidden="1" x14ac:dyDescent="0.3"/>
    <row r="2145" hidden="1" x14ac:dyDescent="0.3"/>
    <row r="2146" hidden="1" x14ac:dyDescent="0.3"/>
    <row r="2147" hidden="1" x14ac:dyDescent="0.3"/>
    <row r="2148" hidden="1" x14ac:dyDescent="0.3"/>
    <row r="2149" hidden="1" x14ac:dyDescent="0.3"/>
    <row r="2150" hidden="1" x14ac:dyDescent="0.3"/>
    <row r="2151" hidden="1" x14ac:dyDescent="0.3"/>
    <row r="2152" hidden="1" x14ac:dyDescent="0.3"/>
    <row r="2153" hidden="1" x14ac:dyDescent="0.3"/>
    <row r="2154" hidden="1" x14ac:dyDescent="0.3"/>
    <row r="2155" hidden="1" x14ac:dyDescent="0.3"/>
    <row r="2156" hidden="1" x14ac:dyDescent="0.3"/>
    <row r="2157" hidden="1" x14ac:dyDescent="0.3"/>
    <row r="2158" hidden="1" x14ac:dyDescent="0.3"/>
    <row r="2159" hidden="1" x14ac:dyDescent="0.3"/>
    <row r="2160" hidden="1" x14ac:dyDescent="0.3"/>
    <row r="2161" hidden="1" x14ac:dyDescent="0.3"/>
    <row r="2162" hidden="1" x14ac:dyDescent="0.3"/>
    <row r="2163" hidden="1" x14ac:dyDescent="0.3"/>
    <row r="2164" hidden="1" x14ac:dyDescent="0.3"/>
    <row r="2165" hidden="1" x14ac:dyDescent="0.3"/>
    <row r="2166" hidden="1" x14ac:dyDescent="0.3"/>
    <row r="2167" hidden="1" x14ac:dyDescent="0.3"/>
    <row r="2168" hidden="1" x14ac:dyDescent="0.3"/>
    <row r="2169" hidden="1" x14ac:dyDescent="0.3"/>
    <row r="2170" hidden="1" x14ac:dyDescent="0.3"/>
    <row r="2171" hidden="1" x14ac:dyDescent="0.3"/>
    <row r="2172" hidden="1" x14ac:dyDescent="0.3"/>
    <row r="2173" hidden="1" x14ac:dyDescent="0.3"/>
    <row r="2174" hidden="1" x14ac:dyDescent="0.3"/>
    <row r="2175" hidden="1" x14ac:dyDescent="0.3"/>
    <row r="2176" hidden="1" x14ac:dyDescent="0.3"/>
    <row r="2177" hidden="1" x14ac:dyDescent="0.3"/>
    <row r="2178" hidden="1" x14ac:dyDescent="0.3"/>
    <row r="2179" hidden="1" x14ac:dyDescent="0.3"/>
    <row r="2180" hidden="1" x14ac:dyDescent="0.3"/>
    <row r="2181" hidden="1" x14ac:dyDescent="0.3"/>
    <row r="2182" hidden="1" x14ac:dyDescent="0.3"/>
    <row r="2183" hidden="1" x14ac:dyDescent="0.3"/>
    <row r="2184" hidden="1" x14ac:dyDescent="0.3"/>
    <row r="2185" hidden="1" x14ac:dyDescent="0.3"/>
    <row r="2186" hidden="1" x14ac:dyDescent="0.3"/>
    <row r="2187" hidden="1" x14ac:dyDescent="0.3"/>
    <row r="2188" hidden="1" x14ac:dyDescent="0.3"/>
    <row r="2189" hidden="1" x14ac:dyDescent="0.3"/>
    <row r="2190" hidden="1" x14ac:dyDescent="0.3"/>
    <row r="2191" hidden="1" x14ac:dyDescent="0.3"/>
    <row r="2192" hidden="1" x14ac:dyDescent="0.3"/>
    <row r="2193" hidden="1" x14ac:dyDescent="0.3"/>
    <row r="2194" hidden="1" x14ac:dyDescent="0.3"/>
    <row r="2195" hidden="1" x14ac:dyDescent="0.3"/>
    <row r="2196" hidden="1" x14ac:dyDescent="0.3"/>
    <row r="2197" hidden="1" x14ac:dyDescent="0.3"/>
    <row r="2198" hidden="1" x14ac:dyDescent="0.3"/>
    <row r="2199" hidden="1" x14ac:dyDescent="0.3"/>
    <row r="2200" hidden="1" x14ac:dyDescent="0.3"/>
    <row r="2201" hidden="1" x14ac:dyDescent="0.3"/>
    <row r="2202" hidden="1" x14ac:dyDescent="0.3"/>
    <row r="2203" hidden="1" x14ac:dyDescent="0.3"/>
    <row r="2204" hidden="1" x14ac:dyDescent="0.3"/>
    <row r="2205" hidden="1" x14ac:dyDescent="0.3"/>
    <row r="2206" hidden="1" x14ac:dyDescent="0.3"/>
    <row r="2207" hidden="1" x14ac:dyDescent="0.3"/>
    <row r="2208" hidden="1" x14ac:dyDescent="0.3"/>
    <row r="2209" hidden="1" x14ac:dyDescent="0.3"/>
    <row r="2210" hidden="1" x14ac:dyDescent="0.3"/>
    <row r="2211" hidden="1" x14ac:dyDescent="0.3"/>
    <row r="2212" hidden="1" x14ac:dyDescent="0.3"/>
    <row r="2213" hidden="1" x14ac:dyDescent="0.3"/>
    <row r="2214" hidden="1" x14ac:dyDescent="0.3"/>
    <row r="2215" hidden="1" x14ac:dyDescent="0.3"/>
    <row r="2216" hidden="1" x14ac:dyDescent="0.3"/>
    <row r="2217" hidden="1" x14ac:dyDescent="0.3"/>
    <row r="2218" hidden="1" x14ac:dyDescent="0.3"/>
    <row r="2219" hidden="1" x14ac:dyDescent="0.3"/>
    <row r="2220" hidden="1" x14ac:dyDescent="0.3"/>
    <row r="2221" hidden="1" x14ac:dyDescent="0.3"/>
    <row r="2222" hidden="1" x14ac:dyDescent="0.3"/>
    <row r="2223" hidden="1" x14ac:dyDescent="0.3"/>
    <row r="2224" hidden="1" x14ac:dyDescent="0.3"/>
    <row r="2225" hidden="1" x14ac:dyDescent="0.3"/>
    <row r="2226" hidden="1" x14ac:dyDescent="0.3"/>
    <row r="2227" hidden="1" x14ac:dyDescent="0.3"/>
    <row r="2228" hidden="1" x14ac:dyDescent="0.3"/>
    <row r="2229" hidden="1" x14ac:dyDescent="0.3"/>
    <row r="2230" hidden="1" x14ac:dyDescent="0.3"/>
    <row r="2231" hidden="1" x14ac:dyDescent="0.3"/>
    <row r="2232" hidden="1" x14ac:dyDescent="0.3"/>
    <row r="2233" hidden="1" x14ac:dyDescent="0.3"/>
    <row r="2234" hidden="1" x14ac:dyDescent="0.3"/>
    <row r="2235" hidden="1" x14ac:dyDescent="0.3"/>
    <row r="2236" hidden="1" x14ac:dyDescent="0.3"/>
    <row r="2237" hidden="1" x14ac:dyDescent="0.3"/>
    <row r="2238" hidden="1" x14ac:dyDescent="0.3"/>
    <row r="2239" hidden="1" x14ac:dyDescent="0.3"/>
    <row r="2240" hidden="1" x14ac:dyDescent="0.3"/>
    <row r="2241" hidden="1" x14ac:dyDescent="0.3"/>
    <row r="2242" hidden="1" x14ac:dyDescent="0.3"/>
    <row r="2243" hidden="1" x14ac:dyDescent="0.3"/>
    <row r="2244" hidden="1" x14ac:dyDescent="0.3"/>
    <row r="2245" hidden="1" x14ac:dyDescent="0.3"/>
    <row r="2246" hidden="1" x14ac:dyDescent="0.3"/>
    <row r="2247" hidden="1" x14ac:dyDescent="0.3"/>
    <row r="2248" hidden="1" x14ac:dyDescent="0.3"/>
    <row r="2249" hidden="1" x14ac:dyDescent="0.3"/>
    <row r="2250" hidden="1" x14ac:dyDescent="0.3"/>
    <row r="2251" hidden="1" x14ac:dyDescent="0.3"/>
    <row r="2252" hidden="1" x14ac:dyDescent="0.3"/>
    <row r="2253" hidden="1" x14ac:dyDescent="0.3"/>
    <row r="2254" hidden="1" x14ac:dyDescent="0.3"/>
    <row r="2255" hidden="1" x14ac:dyDescent="0.3"/>
    <row r="2256" hidden="1" x14ac:dyDescent="0.3"/>
    <row r="2257" hidden="1" x14ac:dyDescent="0.3"/>
    <row r="2258" hidden="1" x14ac:dyDescent="0.3"/>
    <row r="2259" hidden="1" x14ac:dyDescent="0.3"/>
    <row r="2260" hidden="1" x14ac:dyDescent="0.3"/>
    <row r="2261" hidden="1" x14ac:dyDescent="0.3"/>
    <row r="2262" hidden="1" x14ac:dyDescent="0.3"/>
    <row r="2263" hidden="1" x14ac:dyDescent="0.3"/>
    <row r="2264" hidden="1" x14ac:dyDescent="0.3"/>
    <row r="2265" hidden="1" x14ac:dyDescent="0.3"/>
    <row r="2266" hidden="1" x14ac:dyDescent="0.3"/>
    <row r="2267" hidden="1" x14ac:dyDescent="0.3"/>
    <row r="2268" hidden="1" x14ac:dyDescent="0.3"/>
    <row r="2269" hidden="1" x14ac:dyDescent="0.3"/>
    <row r="2270" hidden="1" x14ac:dyDescent="0.3"/>
    <row r="2271" hidden="1" x14ac:dyDescent="0.3"/>
    <row r="2272" hidden="1" x14ac:dyDescent="0.3"/>
    <row r="2273" hidden="1" x14ac:dyDescent="0.3"/>
    <row r="2274" hidden="1" x14ac:dyDescent="0.3"/>
    <row r="2275" hidden="1" x14ac:dyDescent="0.3"/>
    <row r="2276" hidden="1" x14ac:dyDescent="0.3"/>
    <row r="2277" hidden="1" x14ac:dyDescent="0.3"/>
    <row r="2278" hidden="1" x14ac:dyDescent="0.3"/>
    <row r="2279" hidden="1" x14ac:dyDescent="0.3"/>
    <row r="2280" hidden="1" x14ac:dyDescent="0.3"/>
    <row r="2281" hidden="1" x14ac:dyDescent="0.3"/>
    <row r="2282" hidden="1" x14ac:dyDescent="0.3"/>
    <row r="2283" hidden="1" x14ac:dyDescent="0.3"/>
    <row r="2284" hidden="1" x14ac:dyDescent="0.3"/>
    <row r="2285" hidden="1" x14ac:dyDescent="0.3"/>
    <row r="2286" hidden="1" x14ac:dyDescent="0.3"/>
    <row r="2287" hidden="1" x14ac:dyDescent="0.3"/>
    <row r="2288" hidden="1" x14ac:dyDescent="0.3"/>
    <row r="2289" hidden="1" x14ac:dyDescent="0.3"/>
    <row r="2290" hidden="1" x14ac:dyDescent="0.3"/>
    <row r="2291" hidden="1" x14ac:dyDescent="0.3"/>
    <row r="2292" hidden="1" x14ac:dyDescent="0.3"/>
    <row r="2293" hidden="1" x14ac:dyDescent="0.3"/>
    <row r="2294" hidden="1" x14ac:dyDescent="0.3"/>
    <row r="2295" hidden="1" x14ac:dyDescent="0.3"/>
    <row r="2296" hidden="1" x14ac:dyDescent="0.3"/>
    <row r="2297" hidden="1" x14ac:dyDescent="0.3"/>
    <row r="2298" hidden="1" x14ac:dyDescent="0.3"/>
    <row r="2299" hidden="1" x14ac:dyDescent="0.3"/>
    <row r="2300" hidden="1" x14ac:dyDescent="0.3"/>
    <row r="2301" hidden="1" x14ac:dyDescent="0.3"/>
    <row r="2302" hidden="1" x14ac:dyDescent="0.3"/>
    <row r="2303" hidden="1" x14ac:dyDescent="0.3"/>
    <row r="2304" hidden="1" x14ac:dyDescent="0.3"/>
    <row r="2305" hidden="1" x14ac:dyDescent="0.3"/>
    <row r="2306" hidden="1" x14ac:dyDescent="0.3"/>
    <row r="2307" hidden="1" x14ac:dyDescent="0.3"/>
    <row r="2308" hidden="1" x14ac:dyDescent="0.3"/>
    <row r="2309" hidden="1" x14ac:dyDescent="0.3"/>
    <row r="2310" hidden="1" x14ac:dyDescent="0.3"/>
    <row r="2311" hidden="1" x14ac:dyDescent="0.3"/>
    <row r="2312" hidden="1" x14ac:dyDescent="0.3"/>
    <row r="2313" hidden="1" x14ac:dyDescent="0.3"/>
    <row r="2314" hidden="1" x14ac:dyDescent="0.3"/>
    <row r="2315" hidden="1" x14ac:dyDescent="0.3"/>
    <row r="2316" hidden="1" x14ac:dyDescent="0.3"/>
    <row r="2317" hidden="1" x14ac:dyDescent="0.3"/>
    <row r="2318" hidden="1" x14ac:dyDescent="0.3"/>
    <row r="2319" hidden="1" x14ac:dyDescent="0.3"/>
    <row r="2320" hidden="1" x14ac:dyDescent="0.3"/>
    <row r="2321" hidden="1" x14ac:dyDescent="0.3"/>
    <row r="2322" hidden="1" x14ac:dyDescent="0.3"/>
    <row r="2323" hidden="1" x14ac:dyDescent="0.3"/>
    <row r="2324" hidden="1" x14ac:dyDescent="0.3"/>
    <row r="2325" hidden="1" x14ac:dyDescent="0.3"/>
    <row r="2326" hidden="1" x14ac:dyDescent="0.3"/>
    <row r="2327" hidden="1" x14ac:dyDescent="0.3"/>
    <row r="2328" hidden="1" x14ac:dyDescent="0.3"/>
    <row r="2329" hidden="1" x14ac:dyDescent="0.3"/>
    <row r="2330" hidden="1" x14ac:dyDescent="0.3"/>
    <row r="2331" hidden="1" x14ac:dyDescent="0.3"/>
    <row r="2332" hidden="1" x14ac:dyDescent="0.3"/>
    <row r="2333" hidden="1" x14ac:dyDescent="0.3"/>
    <row r="2334" hidden="1" x14ac:dyDescent="0.3"/>
    <row r="2335" hidden="1" x14ac:dyDescent="0.3"/>
    <row r="2336" hidden="1" x14ac:dyDescent="0.3"/>
    <row r="2337" hidden="1" x14ac:dyDescent="0.3"/>
    <row r="2338" hidden="1" x14ac:dyDescent="0.3"/>
    <row r="2339" hidden="1" x14ac:dyDescent="0.3"/>
    <row r="2340" hidden="1" x14ac:dyDescent="0.3"/>
    <row r="2341" hidden="1" x14ac:dyDescent="0.3"/>
    <row r="2342" hidden="1" x14ac:dyDescent="0.3"/>
    <row r="2343" hidden="1" x14ac:dyDescent="0.3"/>
    <row r="2344" hidden="1" x14ac:dyDescent="0.3"/>
    <row r="2345" hidden="1" x14ac:dyDescent="0.3"/>
    <row r="2346" hidden="1" x14ac:dyDescent="0.3"/>
    <row r="2347" hidden="1" x14ac:dyDescent="0.3"/>
    <row r="2348" hidden="1" x14ac:dyDescent="0.3"/>
    <row r="2349" hidden="1" x14ac:dyDescent="0.3"/>
    <row r="2350" hidden="1" x14ac:dyDescent="0.3"/>
    <row r="2351" hidden="1" x14ac:dyDescent="0.3"/>
    <row r="2352" hidden="1" x14ac:dyDescent="0.3"/>
    <row r="2353" hidden="1" x14ac:dyDescent="0.3"/>
    <row r="2354" hidden="1" x14ac:dyDescent="0.3"/>
    <row r="2355" hidden="1" x14ac:dyDescent="0.3"/>
    <row r="2356" hidden="1" x14ac:dyDescent="0.3"/>
    <row r="2357" hidden="1" x14ac:dyDescent="0.3"/>
    <row r="2358" hidden="1" x14ac:dyDescent="0.3"/>
    <row r="2359" hidden="1" x14ac:dyDescent="0.3"/>
    <row r="2360" hidden="1" x14ac:dyDescent="0.3"/>
    <row r="2361" hidden="1" x14ac:dyDescent="0.3"/>
    <row r="2362" hidden="1" x14ac:dyDescent="0.3"/>
    <row r="2363" hidden="1" x14ac:dyDescent="0.3"/>
    <row r="2364" hidden="1" x14ac:dyDescent="0.3"/>
    <row r="2365" hidden="1" x14ac:dyDescent="0.3"/>
    <row r="2366" hidden="1" x14ac:dyDescent="0.3"/>
    <row r="2367" hidden="1" x14ac:dyDescent="0.3"/>
    <row r="2368" hidden="1" x14ac:dyDescent="0.3"/>
    <row r="2369" hidden="1" x14ac:dyDescent="0.3"/>
    <row r="2370" hidden="1" x14ac:dyDescent="0.3"/>
    <row r="2371" hidden="1" x14ac:dyDescent="0.3"/>
    <row r="2372" hidden="1" x14ac:dyDescent="0.3"/>
    <row r="2373" hidden="1" x14ac:dyDescent="0.3"/>
    <row r="2374" hidden="1" x14ac:dyDescent="0.3"/>
    <row r="2375" hidden="1" x14ac:dyDescent="0.3"/>
    <row r="2376" hidden="1" x14ac:dyDescent="0.3"/>
    <row r="2377" hidden="1" x14ac:dyDescent="0.3"/>
    <row r="2378" hidden="1" x14ac:dyDescent="0.3"/>
    <row r="2379" hidden="1" x14ac:dyDescent="0.3"/>
    <row r="2380" hidden="1" x14ac:dyDescent="0.3"/>
    <row r="2381" hidden="1" x14ac:dyDescent="0.3"/>
    <row r="2382" hidden="1" x14ac:dyDescent="0.3"/>
    <row r="2383" hidden="1" x14ac:dyDescent="0.3"/>
    <row r="2384" hidden="1" x14ac:dyDescent="0.3"/>
    <row r="2385" hidden="1" x14ac:dyDescent="0.3"/>
    <row r="2386" hidden="1" x14ac:dyDescent="0.3"/>
    <row r="2387" hidden="1" x14ac:dyDescent="0.3"/>
    <row r="2388" hidden="1" x14ac:dyDescent="0.3"/>
    <row r="2389" hidden="1" x14ac:dyDescent="0.3"/>
    <row r="2390" hidden="1" x14ac:dyDescent="0.3"/>
    <row r="2391" hidden="1" x14ac:dyDescent="0.3"/>
    <row r="2392" hidden="1" x14ac:dyDescent="0.3"/>
    <row r="2393" hidden="1" x14ac:dyDescent="0.3"/>
    <row r="2394" hidden="1" x14ac:dyDescent="0.3"/>
    <row r="2395" hidden="1" x14ac:dyDescent="0.3"/>
    <row r="2396" hidden="1" x14ac:dyDescent="0.3"/>
    <row r="2397" hidden="1" x14ac:dyDescent="0.3"/>
    <row r="2398" hidden="1" x14ac:dyDescent="0.3"/>
    <row r="2399" hidden="1" x14ac:dyDescent="0.3"/>
    <row r="2400" hidden="1" x14ac:dyDescent="0.3"/>
    <row r="2401" hidden="1" x14ac:dyDescent="0.3"/>
    <row r="2402" hidden="1" x14ac:dyDescent="0.3"/>
    <row r="2403" hidden="1" x14ac:dyDescent="0.3"/>
    <row r="2404" hidden="1" x14ac:dyDescent="0.3"/>
    <row r="2405" hidden="1" x14ac:dyDescent="0.3"/>
    <row r="2406" hidden="1" x14ac:dyDescent="0.3"/>
    <row r="2407" hidden="1" x14ac:dyDescent="0.3"/>
    <row r="2408" hidden="1" x14ac:dyDescent="0.3"/>
    <row r="2409" hidden="1" x14ac:dyDescent="0.3"/>
    <row r="2410" hidden="1" x14ac:dyDescent="0.3"/>
    <row r="2411" hidden="1" x14ac:dyDescent="0.3"/>
    <row r="2412" hidden="1" x14ac:dyDescent="0.3"/>
    <row r="2413" hidden="1" x14ac:dyDescent="0.3"/>
    <row r="2414" hidden="1" x14ac:dyDescent="0.3"/>
    <row r="2415" hidden="1" x14ac:dyDescent="0.3"/>
    <row r="2416" hidden="1" x14ac:dyDescent="0.3"/>
    <row r="2417" hidden="1" x14ac:dyDescent="0.3"/>
    <row r="2418" hidden="1" x14ac:dyDescent="0.3"/>
    <row r="2419" hidden="1" x14ac:dyDescent="0.3"/>
    <row r="2420" hidden="1" x14ac:dyDescent="0.3"/>
    <row r="2421" hidden="1" x14ac:dyDescent="0.3"/>
    <row r="2422" hidden="1" x14ac:dyDescent="0.3"/>
    <row r="2423" hidden="1" x14ac:dyDescent="0.3"/>
    <row r="2424" hidden="1" x14ac:dyDescent="0.3"/>
    <row r="2425" hidden="1" x14ac:dyDescent="0.3"/>
    <row r="2426" hidden="1" x14ac:dyDescent="0.3"/>
    <row r="2427" hidden="1" x14ac:dyDescent="0.3"/>
    <row r="2428" hidden="1" x14ac:dyDescent="0.3"/>
    <row r="2429" hidden="1" x14ac:dyDescent="0.3"/>
    <row r="2430" hidden="1" x14ac:dyDescent="0.3"/>
    <row r="2431" hidden="1" x14ac:dyDescent="0.3"/>
    <row r="2432" hidden="1" x14ac:dyDescent="0.3"/>
    <row r="2433" hidden="1" x14ac:dyDescent="0.3"/>
    <row r="2434" hidden="1" x14ac:dyDescent="0.3"/>
    <row r="2435" hidden="1" x14ac:dyDescent="0.3"/>
    <row r="2436" hidden="1" x14ac:dyDescent="0.3"/>
    <row r="2437" hidden="1" x14ac:dyDescent="0.3"/>
    <row r="2438" hidden="1" x14ac:dyDescent="0.3"/>
    <row r="2439" hidden="1" x14ac:dyDescent="0.3"/>
    <row r="2440" hidden="1" x14ac:dyDescent="0.3"/>
    <row r="2441" hidden="1" x14ac:dyDescent="0.3"/>
    <row r="2442" hidden="1" x14ac:dyDescent="0.3"/>
    <row r="2443" hidden="1" x14ac:dyDescent="0.3"/>
    <row r="2444" hidden="1" x14ac:dyDescent="0.3"/>
    <row r="2445" hidden="1" x14ac:dyDescent="0.3"/>
    <row r="2446" hidden="1" x14ac:dyDescent="0.3"/>
    <row r="2447" hidden="1" x14ac:dyDescent="0.3"/>
    <row r="2448" hidden="1" x14ac:dyDescent="0.3"/>
    <row r="2449" hidden="1" x14ac:dyDescent="0.3"/>
    <row r="2450" hidden="1" x14ac:dyDescent="0.3"/>
    <row r="2451" hidden="1" x14ac:dyDescent="0.3"/>
    <row r="2452" hidden="1" x14ac:dyDescent="0.3"/>
    <row r="2453" hidden="1" x14ac:dyDescent="0.3"/>
    <row r="2454" hidden="1" x14ac:dyDescent="0.3"/>
    <row r="2455" hidden="1" x14ac:dyDescent="0.3"/>
    <row r="2456" hidden="1" x14ac:dyDescent="0.3"/>
    <row r="2457" hidden="1" x14ac:dyDescent="0.3"/>
    <row r="2458" hidden="1" x14ac:dyDescent="0.3"/>
    <row r="2459" hidden="1" x14ac:dyDescent="0.3"/>
    <row r="2460" hidden="1" x14ac:dyDescent="0.3"/>
    <row r="2461" hidden="1" x14ac:dyDescent="0.3"/>
    <row r="2462" hidden="1" x14ac:dyDescent="0.3"/>
    <row r="2463" hidden="1" x14ac:dyDescent="0.3"/>
    <row r="2464" hidden="1" x14ac:dyDescent="0.3"/>
    <row r="2465" hidden="1" x14ac:dyDescent="0.3"/>
    <row r="2466" hidden="1" x14ac:dyDescent="0.3"/>
    <row r="2467" hidden="1" x14ac:dyDescent="0.3"/>
    <row r="2468" hidden="1" x14ac:dyDescent="0.3"/>
    <row r="2469" hidden="1" x14ac:dyDescent="0.3"/>
    <row r="2470" hidden="1" x14ac:dyDescent="0.3"/>
    <row r="2471" hidden="1" x14ac:dyDescent="0.3"/>
    <row r="2472" hidden="1" x14ac:dyDescent="0.3"/>
    <row r="2473" hidden="1" x14ac:dyDescent="0.3"/>
    <row r="2474" hidden="1" x14ac:dyDescent="0.3"/>
    <row r="2475" hidden="1" x14ac:dyDescent="0.3"/>
    <row r="2476" hidden="1" x14ac:dyDescent="0.3"/>
    <row r="2477" hidden="1" x14ac:dyDescent="0.3"/>
    <row r="2478" hidden="1" x14ac:dyDescent="0.3"/>
    <row r="2479" hidden="1" x14ac:dyDescent="0.3"/>
    <row r="2480" hidden="1" x14ac:dyDescent="0.3"/>
    <row r="2481" hidden="1" x14ac:dyDescent="0.3"/>
    <row r="2482" hidden="1" x14ac:dyDescent="0.3"/>
    <row r="2483" hidden="1" x14ac:dyDescent="0.3"/>
    <row r="2484" hidden="1" x14ac:dyDescent="0.3"/>
    <row r="2485" hidden="1" x14ac:dyDescent="0.3"/>
    <row r="2486" hidden="1" x14ac:dyDescent="0.3"/>
    <row r="2487" hidden="1" x14ac:dyDescent="0.3"/>
    <row r="2488" hidden="1" x14ac:dyDescent="0.3"/>
    <row r="2489" hidden="1" x14ac:dyDescent="0.3"/>
    <row r="2490" hidden="1" x14ac:dyDescent="0.3"/>
    <row r="2491" hidden="1" x14ac:dyDescent="0.3"/>
    <row r="2492" hidden="1" x14ac:dyDescent="0.3"/>
    <row r="2493" hidden="1" x14ac:dyDescent="0.3"/>
    <row r="2494" hidden="1" x14ac:dyDescent="0.3"/>
    <row r="2495" hidden="1" x14ac:dyDescent="0.3"/>
    <row r="2496" hidden="1" x14ac:dyDescent="0.3"/>
    <row r="2497" hidden="1" x14ac:dyDescent="0.3"/>
    <row r="2498" hidden="1" x14ac:dyDescent="0.3"/>
    <row r="2499" hidden="1" x14ac:dyDescent="0.3"/>
    <row r="2500" hidden="1" x14ac:dyDescent="0.3"/>
    <row r="2501" hidden="1" x14ac:dyDescent="0.3"/>
    <row r="2502" hidden="1" x14ac:dyDescent="0.3"/>
    <row r="2503" hidden="1" x14ac:dyDescent="0.3"/>
    <row r="2504" hidden="1" x14ac:dyDescent="0.3"/>
    <row r="2505" hidden="1" x14ac:dyDescent="0.3"/>
    <row r="2506" hidden="1" x14ac:dyDescent="0.3"/>
    <row r="2507" hidden="1" x14ac:dyDescent="0.3"/>
    <row r="2508" hidden="1" x14ac:dyDescent="0.3"/>
    <row r="2509" hidden="1" x14ac:dyDescent="0.3"/>
    <row r="2510" hidden="1" x14ac:dyDescent="0.3"/>
    <row r="2511" hidden="1" x14ac:dyDescent="0.3"/>
    <row r="2512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hidden="1" x14ac:dyDescent="0.3"/>
    <row r="2530" hidden="1" x14ac:dyDescent="0.3"/>
    <row r="2531" hidden="1" x14ac:dyDescent="0.3"/>
    <row r="2532" hidden="1" x14ac:dyDescent="0.3"/>
    <row r="2533" hidden="1" x14ac:dyDescent="0.3"/>
    <row r="2534" hidden="1" x14ac:dyDescent="0.3"/>
    <row r="2535" hidden="1" x14ac:dyDescent="0.3"/>
    <row r="2536" hidden="1" x14ac:dyDescent="0.3"/>
    <row r="2537" hidden="1" x14ac:dyDescent="0.3"/>
    <row r="2538" hidden="1" x14ac:dyDescent="0.3"/>
    <row r="2539" hidden="1" x14ac:dyDescent="0.3"/>
    <row r="2540" hidden="1" x14ac:dyDescent="0.3"/>
    <row r="2541" hidden="1" x14ac:dyDescent="0.3"/>
    <row r="2542" hidden="1" x14ac:dyDescent="0.3"/>
    <row r="2543" hidden="1" x14ac:dyDescent="0.3"/>
    <row r="2544" hidden="1" x14ac:dyDescent="0.3"/>
    <row r="2545" hidden="1" x14ac:dyDescent="0.3"/>
    <row r="2546" hidden="1" x14ac:dyDescent="0.3"/>
    <row r="2547" hidden="1" x14ac:dyDescent="0.3"/>
    <row r="2548" hidden="1" x14ac:dyDescent="0.3"/>
    <row r="2549" hidden="1" x14ac:dyDescent="0.3"/>
    <row r="2550" hidden="1" x14ac:dyDescent="0.3"/>
    <row r="2551" hidden="1" x14ac:dyDescent="0.3"/>
    <row r="2552" hidden="1" x14ac:dyDescent="0.3"/>
    <row r="2553" hidden="1" x14ac:dyDescent="0.3"/>
    <row r="2554" hidden="1" x14ac:dyDescent="0.3"/>
    <row r="2555" hidden="1" x14ac:dyDescent="0.3"/>
    <row r="2556" hidden="1" x14ac:dyDescent="0.3"/>
    <row r="2557" hidden="1" x14ac:dyDescent="0.3"/>
    <row r="2558" hidden="1" x14ac:dyDescent="0.3"/>
    <row r="2559" hidden="1" x14ac:dyDescent="0.3"/>
    <row r="2560" hidden="1" x14ac:dyDescent="0.3"/>
    <row r="2561" hidden="1" x14ac:dyDescent="0.3"/>
    <row r="2562" hidden="1" x14ac:dyDescent="0.3"/>
    <row r="2563" hidden="1" x14ac:dyDescent="0.3"/>
    <row r="2564" hidden="1" x14ac:dyDescent="0.3"/>
    <row r="2565" hidden="1" x14ac:dyDescent="0.3"/>
    <row r="2566" hidden="1" x14ac:dyDescent="0.3"/>
    <row r="2567" hidden="1" x14ac:dyDescent="0.3"/>
    <row r="2568" hidden="1" x14ac:dyDescent="0.3"/>
    <row r="2569" hidden="1" x14ac:dyDescent="0.3"/>
    <row r="2570" hidden="1" x14ac:dyDescent="0.3"/>
    <row r="2571" hidden="1" x14ac:dyDescent="0.3"/>
    <row r="2572" hidden="1" x14ac:dyDescent="0.3"/>
    <row r="2573" hidden="1" x14ac:dyDescent="0.3"/>
    <row r="2574" hidden="1" x14ac:dyDescent="0.3"/>
    <row r="2575" hidden="1" x14ac:dyDescent="0.3"/>
    <row r="2576" hidden="1" x14ac:dyDescent="0.3"/>
    <row r="2577" hidden="1" x14ac:dyDescent="0.3"/>
    <row r="2578" hidden="1" x14ac:dyDescent="0.3"/>
    <row r="2579" hidden="1" x14ac:dyDescent="0.3"/>
    <row r="2580" hidden="1" x14ac:dyDescent="0.3"/>
    <row r="2581" hidden="1" x14ac:dyDescent="0.3"/>
    <row r="2582" hidden="1" x14ac:dyDescent="0.3"/>
    <row r="2583" hidden="1" x14ac:dyDescent="0.3"/>
    <row r="2584" hidden="1" x14ac:dyDescent="0.3"/>
    <row r="2585" hidden="1" x14ac:dyDescent="0.3"/>
    <row r="2586" hidden="1" x14ac:dyDescent="0.3"/>
    <row r="2587" hidden="1" x14ac:dyDescent="0.3"/>
    <row r="2588" hidden="1" x14ac:dyDescent="0.3"/>
    <row r="2589" hidden="1" x14ac:dyDescent="0.3"/>
    <row r="2590" hidden="1" x14ac:dyDescent="0.3"/>
    <row r="2591" hidden="1" x14ac:dyDescent="0.3"/>
    <row r="2592" hidden="1" x14ac:dyDescent="0.3"/>
    <row r="2593" hidden="1" x14ac:dyDescent="0.3"/>
    <row r="2594" hidden="1" x14ac:dyDescent="0.3"/>
    <row r="2595" hidden="1" x14ac:dyDescent="0.3"/>
    <row r="2596" hidden="1" x14ac:dyDescent="0.3"/>
    <row r="2597" hidden="1" x14ac:dyDescent="0.3"/>
    <row r="2598" hidden="1" x14ac:dyDescent="0.3"/>
    <row r="2599" hidden="1" x14ac:dyDescent="0.3"/>
    <row r="2600" hidden="1" x14ac:dyDescent="0.3"/>
    <row r="2601" hidden="1" x14ac:dyDescent="0.3"/>
    <row r="2602" hidden="1" x14ac:dyDescent="0.3"/>
    <row r="2603" hidden="1" x14ac:dyDescent="0.3"/>
    <row r="2604" hidden="1" x14ac:dyDescent="0.3"/>
    <row r="2605" hidden="1" x14ac:dyDescent="0.3"/>
    <row r="2606" hidden="1" x14ac:dyDescent="0.3"/>
    <row r="2607" hidden="1" x14ac:dyDescent="0.3"/>
    <row r="2608" hidden="1" x14ac:dyDescent="0.3"/>
    <row r="2609" hidden="1" x14ac:dyDescent="0.3"/>
    <row r="2610" hidden="1" x14ac:dyDescent="0.3"/>
    <row r="2611" hidden="1" x14ac:dyDescent="0.3"/>
    <row r="2612" hidden="1" x14ac:dyDescent="0.3"/>
    <row r="2613" hidden="1" x14ac:dyDescent="0.3"/>
    <row r="2614" hidden="1" x14ac:dyDescent="0.3"/>
    <row r="2615" hidden="1" x14ac:dyDescent="0.3"/>
    <row r="2616" hidden="1" x14ac:dyDescent="0.3"/>
    <row r="2617" hidden="1" x14ac:dyDescent="0.3"/>
    <row r="2618" hidden="1" x14ac:dyDescent="0.3"/>
    <row r="2619" hidden="1" x14ac:dyDescent="0.3"/>
    <row r="2620" hidden="1" x14ac:dyDescent="0.3"/>
    <row r="2621" hidden="1" x14ac:dyDescent="0.3"/>
    <row r="2622" hidden="1" x14ac:dyDescent="0.3"/>
    <row r="2623" hidden="1" x14ac:dyDescent="0.3"/>
    <row r="2624" hidden="1" x14ac:dyDescent="0.3"/>
    <row r="2625" hidden="1" x14ac:dyDescent="0.3"/>
    <row r="2626" hidden="1" x14ac:dyDescent="0.3"/>
    <row r="2627" hidden="1" x14ac:dyDescent="0.3"/>
    <row r="2628" hidden="1" x14ac:dyDescent="0.3"/>
    <row r="2629" hidden="1" x14ac:dyDescent="0.3"/>
    <row r="2630" hidden="1" x14ac:dyDescent="0.3"/>
    <row r="2631" hidden="1" x14ac:dyDescent="0.3"/>
    <row r="2632" hidden="1" x14ac:dyDescent="0.3"/>
    <row r="2633" hidden="1" x14ac:dyDescent="0.3"/>
    <row r="2634" hidden="1" x14ac:dyDescent="0.3"/>
    <row r="2635" hidden="1" x14ac:dyDescent="0.3"/>
    <row r="2636" hidden="1" x14ac:dyDescent="0.3"/>
    <row r="2637" hidden="1" x14ac:dyDescent="0.3"/>
    <row r="2638" hidden="1" x14ac:dyDescent="0.3"/>
    <row r="2639" hidden="1" x14ac:dyDescent="0.3"/>
    <row r="2640" hidden="1" x14ac:dyDescent="0.3"/>
    <row r="2641" hidden="1" x14ac:dyDescent="0.3"/>
    <row r="2642" hidden="1" x14ac:dyDescent="0.3"/>
    <row r="2643" hidden="1" x14ac:dyDescent="0.3"/>
    <row r="2644" hidden="1" x14ac:dyDescent="0.3"/>
    <row r="2645" hidden="1" x14ac:dyDescent="0.3"/>
    <row r="2646" hidden="1" x14ac:dyDescent="0.3"/>
    <row r="2647" hidden="1" x14ac:dyDescent="0.3"/>
    <row r="2648" hidden="1" x14ac:dyDescent="0.3"/>
    <row r="2649" hidden="1" x14ac:dyDescent="0.3"/>
    <row r="2650" hidden="1" x14ac:dyDescent="0.3"/>
    <row r="2651" hidden="1" x14ac:dyDescent="0.3"/>
    <row r="2652" hidden="1" x14ac:dyDescent="0.3"/>
    <row r="2653" hidden="1" x14ac:dyDescent="0.3"/>
    <row r="2654" hidden="1" x14ac:dyDescent="0.3"/>
    <row r="2655" hidden="1" x14ac:dyDescent="0.3"/>
    <row r="2656" hidden="1" x14ac:dyDescent="0.3"/>
    <row r="2657" hidden="1" x14ac:dyDescent="0.3"/>
    <row r="2658" hidden="1" x14ac:dyDescent="0.3"/>
    <row r="2659" hidden="1" x14ac:dyDescent="0.3"/>
    <row r="2660" hidden="1" x14ac:dyDescent="0.3"/>
    <row r="2661" hidden="1" x14ac:dyDescent="0.3"/>
    <row r="2662" hidden="1" x14ac:dyDescent="0.3"/>
    <row r="2663" hidden="1" x14ac:dyDescent="0.3"/>
    <row r="2664" hidden="1" x14ac:dyDescent="0.3"/>
    <row r="2665" hidden="1" x14ac:dyDescent="0.3"/>
    <row r="2666" hidden="1" x14ac:dyDescent="0.3"/>
    <row r="2667" hidden="1" x14ac:dyDescent="0.3"/>
    <row r="2668" hidden="1" x14ac:dyDescent="0.3"/>
    <row r="2669" hidden="1" x14ac:dyDescent="0.3"/>
    <row r="2670" hidden="1" x14ac:dyDescent="0.3"/>
    <row r="2671" hidden="1" x14ac:dyDescent="0.3"/>
    <row r="2672" hidden="1" x14ac:dyDescent="0.3"/>
    <row r="2673" hidden="1" x14ac:dyDescent="0.3"/>
    <row r="2674" hidden="1" x14ac:dyDescent="0.3"/>
    <row r="2675" hidden="1" x14ac:dyDescent="0.3"/>
    <row r="2676" hidden="1" x14ac:dyDescent="0.3"/>
    <row r="2677" hidden="1" x14ac:dyDescent="0.3"/>
    <row r="2678" hidden="1" x14ac:dyDescent="0.3"/>
    <row r="2679" hidden="1" x14ac:dyDescent="0.3"/>
    <row r="2680" hidden="1" x14ac:dyDescent="0.3"/>
    <row r="2681" hidden="1" x14ac:dyDescent="0.3"/>
    <row r="2682" hidden="1" x14ac:dyDescent="0.3"/>
    <row r="2683" hidden="1" x14ac:dyDescent="0.3"/>
    <row r="2684" hidden="1" x14ac:dyDescent="0.3"/>
    <row r="2685" hidden="1" x14ac:dyDescent="0.3"/>
    <row r="2686" hidden="1" x14ac:dyDescent="0.3"/>
    <row r="2687" hidden="1" x14ac:dyDescent="0.3"/>
    <row r="2688" hidden="1" x14ac:dyDescent="0.3"/>
    <row r="2689" hidden="1" x14ac:dyDescent="0.3"/>
    <row r="2690" hidden="1" x14ac:dyDescent="0.3"/>
    <row r="2691" hidden="1" x14ac:dyDescent="0.3"/>
    <row r="2692" hidden="1" x14ac:dyDescent="0.3"/>
    <row r="2693" hidden="1" x14ac:dyDescent="0.3"/>
    <row r="2694" hidden="1" x14ac:dyDescent="0.3"/>
    <row r="2695" hidden="1" x14ac:dyDescent="0.3"/>
    <row r="2696" hidden="1" x14ac:dyDescent="0.3"/>
    <row r="2697" hidden="1" x14ac:dyDescent="0.3"/>
    <row r="2698" hidden="1" x14ac:dyDescent="0.3"/>
    <row r="2699" hidden="1" x14ac:dyDescent="0.3"/>
    <row r="2700" hidden="1" x14ac:dyDescent="0.3"/>
    <row r="2701" hidden="1" x14ac:dyDescent="0.3"/>
    <row r="2702" hidden="1" x14ac:dyDescent="0.3"/>
    <row r="2703" hidden="1" x14ac:dyDescent="0.3"/>
    <row r="2704" hidden="1" x14ac:dyDescent="0.3"/>
    <row r="2705" hidden="1" x14ac:dyDescent="0.3"/>
    <row r="2706" hidden="1" x14ac:dyDescent="0.3"/>
    <row r="2707" hidden="1" x14ac:dyDescent="0.3"/>
    <row r="2708" hidden="1" x14ac:dyDescent="0.3"/>
    <row r="2709" hidden="1" x14ac:dyDescent="0.3"/>
    <row r="2710" hidden="1" x14ac:dyDescent="0.3"/>
    <row r="2711" hidden="1" x14ac:dyDescent="0.3"/>
    <row r="2712" hidden="1" x14ac:dyDescent="0.3"/>
    <row r="2713" hidden="1" x14ac:dyDescent="0.3"/>
    <row r="2714" hidden="1" x14ac:dyDescent="0.3"/>
    <row r="2715" hidden="1" x14ac:dyDescent="0.3"/>
    <row r="2716" hidden="1" x14ac:dyDescent="0.3"/>
    <row r="2717" hidden="1" x14ac:dyDescent="0.3"/>
    <row r="2718" hidden="1" x14ac:dyDescent="0.3"/>
    <row r="2719" hidden="1" x14ac:dyDescent="0.3"/>
    <row r="2720" hidden="1" x14ac:dyDescent="0.3"/>
    <row r="2721" hidden="1" x14ac:dyDescent="0.3"/>
    <row r="2722" hidden="1" x14ac:dyDescent="0.3"/>
    <row r="2723" hidden="1" x14ac:dyDescent="0.3"/>
    <row r="2724" hidden="1" x14ac:dyDescent="0.3"/>
    <row r="2725" hidden="1" x14ac:dyDescent="0.3"/>
    <row r="2726" hidden="1" x14ac:dyDescent="0.3"/>
    <row r="2727" hidden="1" x14ac:dyDescent="0.3"/>
    <row r="2728" hidden="1" x14ac:dyDescent="0.3"/>
    <row r="2729" hidden="1" x14ac:dyDescent="0.3"/>
    <row r="2730" hidden="1" x14ac:dyDescent="0.3"/>
    <row r="2731" hidden="1" x14ac:dyDescent="0.3"/>
    <row r="2732" hidden="1" x14ac:dyDescent="0.3"/>
    <row r="2733" hidden="1" x14ac:dyDescent="0.3"/>
    <row r="2734" hidden="1" x14ac:dyDescent="0.3"/>
    <row r="2735" hidden="1" x14ac:dyDescent="0.3"/>
    <row r="2736" hidden="1" x14ac:dyDescent="0.3"/>
    <row r="2737" hidden="1" x14ac:dyDescent="0.3"/>
    <row r="2738" hidden="1" x14ac:dyDescent="0.3"/>
    <row r="2739" hidden="1" x14ac:dyDescent="0.3"/>
    <row r="2740" hidden="1" x14ac:dyDescent="0.3"/>
    <row r="2741" hidden="1" x14ac:dyDescent="0.3"/>
    <row r="2742" hidden="1" x14ac:dyDescent="0.3"/>
    <row r="2743" hidden="1" x14ac:dyDescent="0.3"/>
    <row r="2744" hidden="1" x14ac:dyDescent="0.3"/>
    <row r="2745" hidden="1" x14ac:dyDescent="0.3"/>
    <row r="2746" hidden="1" x14ac:dyDescent="0.3"/>
    <row r="2747" hidden="1" x14ac:dyDescent="0.3"/>
    <row r="2748" hidden="1" x14ac:dyDescent="0.3"/>
    <row r="2749" hidden="1" x14ac:dyDescent="0.3"/>
    <row r="2750" hidden="1" x14ac:dyDescent="0.3"/>
    <row r="2751" hidden="1" x14ac:dyDescent="0.3"/>
    <row r="2752" hidden="1" x14ac:dyDescent="0.3"/>
    <row r="2753" hidden="1" x14ac:dyDescent="0.3"/>
    <row r="2754" hidden="1" x14ac:dyDescent="0.3"/>
    <row r="2755" hidden="1" x14ac:dyDescent="0.3"/>
    <row r="2756" hidden="1" x14ac:dyDescent="0.3"/>
    <row r="2757" hidden="1" x14ac:dyDescent="0.3"/>
    <row r="2758" hidden="1" x14ac:dyDescent="0.3"/>
    <row r="2759" hidden="1" x14ac:dyDescent="0.3"/>
    <row r="2760" hidden="1" x14ac:dyDescent="0.3"/>
    <row r="2761" hidden="1" x14ac:dyDescent="0.3"/>
    <row r="2762" hidden="1" x14ac:dyDescent="0.3"/>
    <row r="2763" hidden="1" x14ac:dyDescent="0.3"/>
    <row r="2764" hidden="1" x14ac:dyDescent="0.3"/>
    <row r="2765" hidden="1" x14ac:dyDescent="0.3"/>
    <row r="2766" hidden="1" x14ac:dyDescent="0.3"/>
    <row r="2767" hidden="1" x14ac:dyDescent="0.3"/>
    <row r="2768" hidden="1" x14ac:dyDescent="0.3"/>
    <row r="2769" hidden="1" x14ac:dyDescent="0.3"/>
    <row r="2770" hidden="1" x14ac:dyDescent="0.3"/>
    <row r="2771" hidden="1" x14ac:dyDescent="0.3"/>
    <row r="2772" hidden="1" x14ac:dyDescent="0.3"/>
    <row r="2773" hidden="1" x14ac:dyDescent="0.3"/>
    <row r="2774" hidden="1" x14ac:dyDescent="0.3"/>
    <row r="2775" hidden="1" x14ac:dyDescent="0.3"/>
    <row r="2776" hidden="1" x14ac:dyDescent="0.3"/>
    <row r="2777" hidden="1" x14ac:dyDescent="0.3"/>
    <row r="2778" hidden="1" x14ac:dyDescent="0.3"/>
    <row r="2779" hidden="1" x14ac:dyDescent="0.3"/>
    <row r="2780" hidden="1" x14ac:dyDescent="0.3"/>
    <row r="2781" hidden="1" x14ac:dyDescent="0.3"/>
    <row r="2782" hidden="1" x14ac:dyDescent="0.3"/>
    <row r="2783" hidden="1" x14ac:dyDescent="0.3"/>
    <row r="2784" hidden="1" x14ac:dyDescent="0.3"/>
    <row r="2785" hidden="1" x14ac:dyDescent="0.3"/>
    <row r="2786" hidden="1" x14ac:dyDescent="0.3"/>
    <row r="2787" hidden="1" x14ac:dyDescent="0.3"/>
    <row r="2788" hidden="1" x14ac:dyDescent="0.3"/>
    <row r="2789" hidden="1" x14ac:dyDescent="0.3"/>
    <row r="2790" hidden="1" x14ac:dyDescent="0.3"/>
    <row r="2791" hidden="1" x14ac:dyDescent="0.3"/>
    <row r="2792" hidden="1" x14ac:dyDescent="0.3"/>
    <row r="2793" hidden="1" x14ac:dyDescent="0.3"/>
    <row r="2794" hidden="1" x14ac:dyDescent="0.3"/>
    <row r="2795" hidden="1" x14ac:dyDescent="0.3"/>
    <row r="2796" hidden="1" x14ac:dyDescent="0.3"/>
    <row r="2797" hidden="1" x14ac:dyDescent="0.3"/>
    <row r="2798" hidden="1" x14ac:dyDescent="0.3"/>
    <row r="2799" hidden="1" x14ac:dyDescent="0.3"/>
    <row r="2800" hidden="1" x14ac:dyDescent="0.3"/>
    <row r="2801" hidden="1" x14ac:dyDescent="0.3"/>
    <row r="2802" hidden="1" x14ac:dyDescent="0.3"/>
    <row r="2803" hidden="1" x14ac:dyDescent="0.3"/>
    <row r="2804" hidden="1" x14ac:dyDescent="0.3"/>
    <row r="2805" hidden="1" x14ac:dyDescent="0.3"/>
    <row r="2806" hidden="1" x14ac:dyDescent="0.3"/>
    <row r="2807" hidden="1" x14ac:dyDescent="0.3"/>
    <row r="2808" hidden="1" x14ac:dyDescent="0.3"/>
    <row r="2809" hidden="1" x14ac:dyDescent="0.3"/>
    <row r="2810" hidden="1" x14ac:dyDescent="0.3"/>
    <row r="2811" hidden="1" x14ac:dyDescent="0.3"/>
    <row r="2812" hidden="1" x14ac:dyDescent="0.3"/>
    <row r="2813" hidden="1" x14ac:dyDescent="0.3"/>
    <row r="2814" hidden="1" x14ac:dyDescent="0.3"/>
    <row r="2815" hidden="1" x14ac:dyDescent="0.3"/>
    <row r="2816" hidden="1" x14ac:dyDescent="0.3"/>
    <row r="2817" hidden="1" x14ac:dyDescent="0.3"/>
    <row r="2818" hidden="1" x14ac:dyDescent="0.3"/>
    <row r="2819" hidden="1" x14ac:dyDescent="0.3"/>
    <row r="2820" hidden="1" x14ac:dyDescent="0.3"/>
    <row r="2821" hidden="1" x14ac:dyDescent="0.3"/>
    <row r="2822" hidden="1" x14ac:dyDescent="0.3"/>
    <row r="2823" hidden="1" x14ac:dyDescent="0.3"/>
    <row r="2824" hidden="1" x14ac:dyDescent="0.3"/>
    <row r="2825" hidden="1" x14ac:dyDescent="0.3"/>
    <row r="2826" hidden="1" x14ac:dyDescent="0.3"/>
    <row r="2827" hidden="1" x14ac:dyDescent="0.3"/>
    <row r="2828" hidden="1" x14ac:dyDescent="0.3"/>
    <row r="2829" hidden="1" x14ac:dyDescent="0.3"/>
    <row r="2830" hidden="1" x14ac:dyDescent="0.3"/>
    <row r="2831" hidden="1" x14ac:dyDescent="0.3"/>
    <row r="2832" hidden="1" x14ac:dyDescent="0.3"/>
    <row r="2833" hidden="1" x14ac:dyDescent="0.3"/>
    <row r="2834" hidden="1" x14ac:dyDescent="0.3"/>
    <row r="2835" hidden="1" x14ac:dyDescent="0.3"/>
    <row r="2836" hidden="1" x14ac:dyDescent="0.3"/>
    <row r="2837" hidden="1" x14ac:dyDescent="0.3"/>
    <row r="2838" hidden="1" x14ac:dyDescent="0.3"/>
    <row r="2839" hidden="1" x14ac:dyDescent="0.3"/>
    <row r="2840" hidden="1" x14ac:dyDescent="0.3"/>
    <row r="2841" hidden="1" x14ac:dyDescent="0.3"/>
    <row r="2842" hidden="1" x14ac:dyDescent="0.3"/>
    <row r="2843" hidden="1" x14ac:dyDescent="0.3"/>
    <row r="2844" hidden="1" x14ac:dyDescent="0.3"/>
    <row r="2845" hidden="1" x14ac:dyDescent="0.3"/>
    <row r="2846" hidden="1" x14ac:dyDescent="0.3"/>
    <row r="2847" hidden="1" x14ac:dyDescent="0.3"/>
    <row r="2848" hidden="1" x14ac:dyDescent="0.3"/>
    <row r="2849" hidden="1" x14ac:dyDescent="0.3"/>
    <row r="2850" hidden="1" x14ac:dyDescent="0.3"/>
    <row r="2851" hidden="1" x14ac:dyDescent="0.3"/>
    <row r="2852" hidden="1" x14ac:dyDescent="0.3"/>
    <row r="2853" hidden="1" x14ac:dyDescent="0.3"/>
    <row r="2854" hidden="1" x14ac:dyDescent="0.3"/>
    <row r="2855" hidden="1" x14ac:dyDescent="0.3"/>
    <row r="2856" hidden="1" x14ac:dyDescent="0.3"/>
    <row r="2857" hidden="1" x14ac:dyDescent="0.3"/>
    <row r="2858" hidden="1" x14ac:dyDescent="0.3"/>
    <row r="2859" hidden="1" x14ac:dyDescent="0.3"/>
    <row r="2860" hidden="1" x14ac:dyDescent="0.3"/>
    <row r="2861" hidden="1" x14ac:dyDescent="0.3"/>
    <row r="2862" hidden="1" x14ac:dyDescent="0.3"/>
    <row r="2863" hidden="1" x14ac:dyDescent="0.3"/>
    <row r="2864" hidden="1" x14ac:dyDescent="0.3"/>
    <row r="2865" hidden="1" x14ac:dyDescent="0.3"/>
    <row r="2866" hidden="1" x14ac:dyDescent="0.3"/>
    <row r="2867" hidden="1" x14ac:dyDescent="0.3"/>
    <row r="2868" hidden="1" x14ac:dyDescent="0.3"/>
    <row r="2869" hidden="1" x14ac:dyDescent="0.3"/>
    <row r="2870" hidden="1" x14ac:dyDescent="0.3"/>
    <row r="2871" hidden="1" x14ac:dyDescent="0.3"/>
    <row r="2872" hidden="1" x14ac:dyDescent="0.3"/>
    <row r="2873" hidden="1" x14ac:dyDescent="0.3"/>
    <row r="2874" hidden="1" x14ac:dyDescent="0.3"/>
    <row r="2875" hidden="1" x14ac:dyDescent="0.3"/>
    <row r="2876" hidden="1" x14ac:dyDescent="0.3"/>
    <row r="2877" hidden="1" x14ac:dyDescent="0.3"/>
    <row r="2878" hidden="1" x14ac:dyDescent="0.3"/>
    <row r="2879" hidden="1" x14ac:dyDescent="0.3"/>
    <row r="2880" hidden="1" x14ac:dyDescent="0.3"/>
    <row r="2881" hidden="1" x14ac:dyDescent="0.3"/>
    <row r="2882" hidden="1" x14ac:dyDescent="0.3"/>
    <row r="2883" hidden="1" x14ac:dyDescent="0.3"/>
    <row r="2884" hidden="1" x14ac:dyDescent="0.3"/>
    <row r="2885" hidden="1" x14ac:dyDescent="0.3"/>
    <row r="2886" hidden="1" x14ac:dyDescent="0.3"/>
    <row r="2887" hidden="1" x14ac:dyDescent="0.3"/>
    <row r="2888" hidden="1" x14ac:dyDescent="0.3"/>
    <row r="2889" hidden="1" x14ac:dyDescent="0.3"/>
    <row r="2890" hidden="1" x14ac:dyDescent="0.3"/>
    <row r="2891" hidden="1" x14ac:dyDescent="0.3"/>
    <row r="2892" hidden="1" x14ac:dyDescent="0.3"/>
    <row r="2893" hidden="1" x14ac:dyDescent="0.3"/>
    <row r="2894" hidden="1" x14ac:dyDescent="0.3"/>
    <row r="2895" hidden="1" x14ac:dyDescent="0.3"/>
    <row r="2896" hidden="1" x14ac:dyDescent="0.3"/>
    <row r="2897" hidden="1" x14ac:dyDescent="0.3"/>
    <row r="2898" hidden="1" x14ac:dyDescent="0.3"/>
    <row r="2899" hidden="1" x14ac:dyDescent="0.3"/>
    <row r="2900" hidden="1" x14ac:dyDescent="0.3"/>
    <row r="2901" hidden="1" x14ac:dyDescent="0.3"/>
    <row r="2902" hidden="1" x14ac:dyDescent="0.3"/>
    <row r="2903" hidden="1" x14ac:dyDescent="0.3"/>
    <row r="2904" hidden="1" x14ac:dyDescent="0.3"/>
    <row r="2905" hidden="1" x14ac:dyDescent="0.3"/>
    <row r="2906" hidden="1" x14ac:dyDescent="0.3"/>
    <row r="2907" hidden="1" x14ac:dyDescent="0.3"/>
    <row r="2908" hidden="1" x14ac:dyDescent="0.3"/>
    <row r="2909" hidden="1" x14ac:dyDescent="0.3"/>
    <row r="2910" hidden="1" x14ac:dyDescent="0.3"/>
    <row r="2911" hidden="1" x14ac:dyDescent="0.3"/>
    <row r="2912" hidden="1" x14ac:dyDescent="0.3"/>
    <row r="2913" hidden="1" x14ac:dyDescent="0.3"/>
    <row r="2914" hidden="1" x14ac:dyDescent="0.3"/>
    <row r="2915" hidden="1" x14ac:dyDescent="0.3"/>
    <row r="2916" hidden="1" x14ac:dyDescent="0.3"/>
    <row r="2917" hidden="1" x14ac:dyDescent="0.3"/>
    <row r="2918" hidden="1" x14ac:dyDescent="0.3"/>
    <row r="2919" hidden="1" x14ac:dyDescent="0.3"/>
    <row r="2920" hidden="1" x14ac:dyDescent="0.3"/>
    <row r="2921" hidden="1" x14ac:dyDescent="0.3"/>
    <row r="2922" hidden="1" x14ac:dyDescent="0.3"/>
    <row r="2923" hidden="1" x14ac:dyDescent="0.3"/>
    <row r="2924" hidden="1" x14ac:dyDescent="0.3"/>
    <row r="2925" hidden="1" x14ac:dyDescent="0.3"/>
    <row r="2926" hidden="1" x14ac:dyDescent="0.3"/>
    <row r="2927" hidden="1" x14ac:dyDescent="0.3"/>
    <row r="2928" hidden="1" x14ac:dyDescent="0.3"/>
    <row r="2929" hidden="1" x14ac:dyDescent="0.3"/>
    <row r="2930" hidden="1" x14ac:dyDescent="0.3"/>
    <row r="2931" hidden="1" x14ac:dyDescent="0.3"/>
    <row r="2932" hidden="1" x14ac:dyDescent="0.3"/>
    <row r="2933" hidden="1" x14ac:dyDescent="0.3"/>
    <row r="2934" hidden="1" x14ac:dyDescent="0.3"/>
    <row r="2935" hidden="1" x14ac:dyDescent="0.3"/>
    <row r="2936" hidden="1" x14ac:dyDescent="0.3"/>
    <row r="2937" hidden="1" x14ac:dyDescent="0.3"/>
    <row r="2938" hidden="1" x14ac:dyDescent="0.3"/>
    <row r="2939" hidden="1" x14ac:dyDescent="0.3"/>
    <row r="2940" hidden="1" x14ac:dyDescent="0.3"/>
    <row r="2941" hidden="1" x14ac:dyDescent="0.3"/>
    <row r="2942" hidden="1" x14ac:dyDescent="0.3"/>
    <row r="2943" hidden="1" x14ac:dyDescent="0.3"/>
    <row r="2944" hidden="1" x14ac:dyDescent="0.3"/>
    <row r="2945" hidden="1" x14ac:dyDescent="0.3"/>
    <row r="2946" hidden="1" x14ac:dyDescent="0.3"/>
    <row r="2947" hidden="1" x14ac:dyDescent="0.3"/>
    <row r="2948" hidden="1" x14ac:dyDescent="0.3"/>
    <row r="2949" hidden="1" x14ac:dyDescent="0.3"/>
    <row r="2950" hidden="1" x14ac:dyDescent="0.3"/>
    <row r="2951" hidden="1" x14ac:dyDescent="0.3"/>
    <row r="2952" hidden="1" x14ac:dyDescent="0.3"/>
    <row r="2953" hidden="1" x14ac:dyDescent="0.3"/>
    <row r="2954" hidden="1" x14ac:dyDescent="0.3"/>
    <row r="2955" hidden="1" x14ac:dyDescent="0.3"/>
    <row r="2956" hidden="1" x14ac:dyDescent="0.3"/>
    <row r="2957" hidden="1" x14ac:dyDescent="0.3"/>
    <row r="2958" hidden="1" x14ac:dyDescent="0.3"/>
    <row r="2959" hidden="1" x14ac:dyDescent="0.3"/>
    <row r="2960" hidden="1" x14ac:dyDescent="0.3"/>
    <row r="2961" hidden="1" x14ac:dyDescent="0.3"/>
    <row r="2962" hidden="1" x14ac:dyDescent="0.3"/>
    <row r="2963" hidden="1" x14ac:dyDescent="0.3"/>
    <row r="2964" hidden="1" x14ac:dyDescent="0.3"/>
    <row r="2965" hidden="1" x14ac:dyDescent="0.3"/>
    <row r="2966" hidden="1" x14ac:dyDescent="0.3"/>
    <row r="2967" hidden="1" x14ac:dyDescent="0.3"/>
    <row r="2968" hidden="1" x14ac:dyDescent="0.3"/>
    <row r="2969" hidden="1" x14ac:dyDescent="0.3"/>
    <row r="2970" hidden="1" x14ac:dyDescent="0.3"/>
    <row r="2971" hidden="1" x14ac:dyDescent="0.3"/>
    <row r="2972" hidden="1" x14ac:dyDescent="0.3"/>
    <row r="2973" hidden="1" x14ac:dyDescent="0.3"/>
    <row r="2974" hidden="1" x14ac:dyDescent="0.3"/>
    <row r="2975" hidden="1" x14ac:dyDescent="0.3"/>
    <row r="2976" hidden="1" x14ac:dyDescent="0.3"/>
    <row r="2977" hidden="1" x14ac:dyDescent="0.3"/>
    <row r="2978" hidden="1" x14ac:dyDescent="0.3"/>
    <row r="2979" hidden="1" x14ac:dyDescent="0.3"/>
    <row r="2980" hidden="1" x14ac:dyDescent="0.3"/>
    <row r="2981" hidden="1" x14ac:dyDescent="0.3"/>
    <row r="2982" hidden="1" x14ac:dyDescent="0.3"/>
    <row r="2983" hidden="1" x14ac:dyDescent="0.3"/>
    <row r="2984" hidden="1" x14ac:dyDescent="0.3"/>
    <row r="2985" hidden="1" x14ac:dyDescent="0.3"/>
    <row r="2986" hidden="1" x14ac:dyDescent="0.3"/>
    <row r="2987" hidden="1" x14ac:dyDescent="0.3"/>
    <row r="2988" hidden="1" x14ac:dyDescent="0.3"/>
    <row r="2989" hidden="1" x14ac:dyDescent="0.3"/>
    <row r="2990" hidden="1" x14ac:dyDescent="0.3"/>
    <row r="2991" hidden="1" x14ac:dyDescent="0.3"/>
    <row r="2992" hidden="1" x14ac:dyDescent="0.3"/>
    <row r="2993" hidden="1" x14ac:dyDescent="0.3"/>
    <row r="2994" hidden="1" x14ac:dyDescent="0.3"/>
    <row r="2995" hidden="1" x14ac:dyDescent="0.3"/>
    <row r="2996" hidden="1" x14ac:dyDescent="0.3"/>
    <row r="2997" hidden="1" x14ac:dyDescent="0.3"/>
    <row r="2998" hidden="1" x14ac:dyDescent="0.3"/>
    <row r="2999" hidden="1" x14ac:dyDescent="0.3"/>
    <row r="3000" hidden="1" x14ac:dyDescent="0.3"/>
    <row r="3001" hidden="1" x14ac:dyDescent="0.3"/>
    <row r="3002" hidden="1" x14ac:dyDescent="0.3"/>
    <row r="3003" hidden="1" x14ac:dyDescent="0.3"/>
    <row r="3004" hidden="1" x14ac:dyDescent="0.3"/>
    <row r="3005" hidden="1" x14ac:dyDescent="0.3"/>
    <row r="3006" hidden="1" x14ac:dyDescent="0.3"/>
    <row r="3007" hidden="1" x14ac:dyDescent="0.3"/>
    <row r="3008" hidden="1" x14ac:dyDescent="0.3"/>
    <row r="3009" hidden="1" x14ac:dyDescent="0.3"/>
    <row r="3010" hidden="1" x14ac:dyDescent="0.3"/>
    <row r="3011" hidden="1" x14ac:dyDescent="0.3"/>
    <row r="3012" hidden="1" x14ac:dyDescent="0.3"/>
    <row r="3013" hidden="1" x14ac:dyDescent="0.3"/>
    <row r="3014" hidden="1" x14ac:dyDescent="0.3"/>
    <row r="3015" hidden="1" x14ac:dyDescent="0.3"/>
    <row r="3016" hidden="1" x14ac:dyDescent="0.3"/>
    <row r="3017" hidden="1" x14ac:dyDescent="0.3"/>
    <row r="3018" hidden="1" x14ac:dyDescent="0.3"/>
    <row r="3019" hidden="1" x14ac:dyDescent="0.3"/>
    <row r="3020" hidden="1" x14ac:dyDescent="0.3"/>
    <row r="3021" hidden="1" x14ac:dyDescent="0.3"/>
    <row r="3022" hidden="1" x14ac:dyDescent="0.3"/>
    <row r="3023" hidden="1" x14ac:dyDescent="0.3"/>
    <row r="3024" hidden="1" x14ac:dyDescent="0.3"/>
    <row r="3025" hidden="1" x14ac:dyDescent="0.3"/>
    <row r="3026" hidden="1" x14ac:dyDescent="0.3"/>
    <row r="3027" hidden="1" x14ac:dyDescent="0.3"/>
    <row r="3028" hidden="1" x14ac:dyDescent="0.3"/>
    <row r="3029" hidden="1" x14ac:dyDescent="0.3"/>
    <row r="3030" hidden="1" x14ac:dyDescent="0.3"/>
    <row r="3031" hidden="1" x14ac:dyDescent="0.3"/>
    <row r="3032" hidden="1" x14ac:dyDescent="0.3"/>
    <row r="3033" hidden="1" x14ac:dyDescent="0.3"/>
    <row r="3034" hidden="1" x14ac:dyDescent="0.3"/>
    <row r="3035" hidden="1" x14ac:dyDescent="0.3"/>
    <row r="3036" hidden="1" x14ac:dyDescent="0.3"/>
    <row r="3037" hidden="1" x14ac:dyDescent="0.3"/>
    <row r="3038" hidden="1" x14ac:dyDescent="0.3"/>
    <row r="3039" hidden="1" x14ac:dyDescent="0.3"/>
    <row r="3040" hidden="1" x14ac:dyDescent="0.3"/>
    <row r="3041" hidden="1" x14ac:dyDescent="0.3"/>
    <row r="3042" hidden="1" x14ac:dyDescent="0.3"/>
    <row r="3043" hidden="1" x14ac:dyDescent="0.3"/>
    <row r="3044" hidden="1" x14ac:dyDescent="0.3"/>
    <row r="3045" hidden="1" x14ac:dyDescent="0.3"/>
    <row r="3046" hidden="1" x14ac:dyDescent="0.3"/>
    <row r="3047" hidden="1" x14ac:dyDescent="0.3"/>
    <row r="3048" hidden="1" x14ac:dyDescent="0.3"/>
    <row r="3049" hidden="1" x14ac:dyDescent="0.3"/>
    <row r="3050" hidden="1" x14ac:dyDescent="0.3"/>
    <row r="3051" hidden="1" x14ac:dyDescent="0.3"/>
    <row r="3052" hidden="1" x14ac:dyDescent="0.3"/>
    <row r="3053" hidden="1" x14ac:dyDescent="0.3"/>
    <row r="3054" hidden="1" x14ac:dyDescent="0.3"/>
    <row r="3055" hidden="1" x14ac:dyDescent="0.3"/>
    <row r="3056" hidden="1" x14ac:dyDescent="0.3"/>
    <row r="3057" hidden="1" x14ac:dyDescent="0.3"/>
    <row r="3058" hidden="1" x14ac:dyDescent="0.3"/>
    <row r="3059" hidden="1" x14ac:dyDescent="0.3"/>
    <row r="3060" hidden="1" x14ac:dyDescent="0.3"/>
    <row r="3061" hidden="1" x14ac:dyDescent="0.3"/>
    <row r="3062" hidden="1" x14ac:dyDescent="0.3"/>
    <row r="3063" hidden="1" x14ac:dyDescent="0.3"/>
    <row r="3064" hidden="1" x14ac:dyDescent="0.3"/>
    <row r="3065" hidden="1" x14ac:dyDescent="0.3"/>
    <row r="3066" hidden="1" x14ac:dyDescent="0.3"/>
    <row r="3067" hidden="1" x14ac:dyDescent="0.3"/>
    <row r="3068" hidden="1" x14ac:dyDescent="0.3"/>
    <row r="3069" hidden="1" x14ac:dyDescent="0.3"/>
    <row r="3070" hidden="1" x14ac:dyDescent="0.3"/>
    <row r="3071" hidden="1" x14ac:dyDescent="0.3"/>
    <row r="3072" hidden="1" x14ac:dyDescent="0.3"/>
    <row r="3073" hidden="1" x14ac:dyDescent="0.3"/>
    <row r="3074" hidden="1" x14ac:dyDescent="0.3"/>
    <row r="3075" hidden="1" x14ac:dyDescent="0.3"/>
    <row r="3076" hidden="1" x14ac:dyDescent="0.3"/>
    <row r="3077" hidden="1" x14ac:dyDescent="0.3"/>
    <row r="3078" hidden="1" x14ac:dyDescent="0.3"/>
    <row r="3079" hidden="1" x14ac:dyDescent="0.3"/>
    <row r="3080" hidden="1" x14ac:dyDescent="0.3"/>
    <row r="3081" hidden="1" x14ac:dyDescent="0.3"/>
    <row r="3082" hidden="1" x14ac:dyDescent="0.3"/>
    <row r="3083" hidden="1" x14ac:dyDescent="0.3"/>
    <row r="3084" hidden="1" x14ac:dyDescent="0.3"/>
    <row r="3085" hidden="1" x14ac:dyDescent="0.3"/>
    <row r="3086" hidden="1" x14ac:dyDescent="0.3"/>
    <row r="3087" hidden="1" x14ac:dyDescent="0.3"/>
    <row r="3088" hidden="1" x14ac:dyDescent="0.3"/>
    <row r="3089" hidden="1" x14ac:dyDescent="0.3"/>
    <row r="3090" hidden="1" x14ac:dyDescent="0.3"/>
    <row r="3091" hidden="1" x14ac:dyDescent="0.3"/>
    <row r="3092" hidden="1" x14ac:dyDescent="0.3"/>
    <row r="3093" hidden="1" x14ac:dyDescent="0.3"/>
    <row r="3094" hidden="1" x14ac:dyDescent="0.3"/>
    <row r="3095" hidden="1" x14ac:dyDescent="0.3"/>
    <row r="3096" hidden="1" x14ac:dyDescent="0.3"/>
    <row r="3097" hidden="1" x14ac:dyDescent="0.3"/>
    <row r="3098" hidden="1" x14ac:dyDescent="0.3"/>
    <row r="3099" hidden="1" x14ac:dyDescent="0.3"/>
    <row r="3100" hidden="1" x14ac:dyDescent="0.3"/>
    <row r="3101" hidden="1" x14ac:dyDescent="0.3"/>
    <row r="3102" hidden="1" x14ac:dyDescent="0.3"/>
    <row r="3103" hidden="1" x14ac:dyDescent="0.3"/>
    <row r="3104" hidden="1" x14ac:dyDescent="0.3"/>
    <row r="3105" hidden="1" x14ac:dyDescent="0.3"/>
    <row r="3106" hidden="1" x14ac:dyDescent="0.3"/>
    <row r="3107" hidden="1" x14ac:dyDescent="0.3"/>
    <row r="3108" hidden="1" x14ac:dyDescent="0.3"/>
    <row r="3109" hidden="1" x14ac:dyDescent="0.3"/>
    <row r="3110" hidden="1" x14ac:dyDescent="0.3"/>
    <row r="3111" hidden="1" x14ac:dyDescent="0.3"/>
    <row r="3112" hidden="1" x14ac:dyDescent="0.3"/>
    <row r="3113" hidden="1" x14ac:dyDescent="0.3"/>
    <row r="3114" hidden="1" x14ac:dyDescent="0.3"/>
    <row r="3115" hidden="1" x14ac:dyDescent="0.3"/>
    <row r="3116" hidden="1" x14ac:dyDescent="0.3"/>
    <row r="3117" hidden="1" x14ac:dyDescent="0.3"/>
    <row r="3118" hidden="1" x14ac:dyDescent="0.3"/>
    <row r="3119" hidden="1" x14ac:dyDescent="0.3"/>
    <row r="3120" hidden="1" x14ac:dyDescent="0.3"/>
    <row r="3121" hidden="1" x14ac:dyDescent="0.3"/>
    <row r="3122" hidden="1" x14ac:dyDescent="0.3"/>
    <row r="3123" hidden="1" x14ac:dyDescent="0.3"/>
    <row r="3124" hidden="1" x14ac:dyDescent="0.3"/>
    <row r="3125" hidden="1" x14ac:dyDescent="0.3"/>
    <row r="3126" hidden="1" x14ac:dyDescent="0.3"/>
    <row r="3127" hidden="1" x14ac:dyDescent="0.3"/>
    <row r="3128" hidden="1" x14ac:dyDescent="0.3"/>
    <row r="3129" hidden="1" x14ac:dyDescent="0.3"/>
    <row r="3130" hidden="1" x14ac:dyDescent="0.3"/>
    <row r="3131" hidden="1" x14ac:dyDescent="0.3"/>
    <row r="3132" hidden="1" x14ac:dyDescent="0.3"/>
    <row r="3133" hidden="1" x14ac:dyDescent="0.3"/>
    <row r="3134" hidden="1" x14ac:dyDescent="0.3"/>
    <row r="3135" hidden="1" x14ac:dyDescent="0.3"/>
    <row r="3136" hidden="1" x14ac:dyDescent="0.3"/>
    <row r="3137" hidden="1" x14ac:dyDescent="0.3"/>
    <row r="3138" hidden="1" x14ac:dyDescent="0.3"/>
    <row r="3139" hidden="1" x14ac:dyDescent="0.3"/>
    <row r="3140" hidden="1" x14ac:dyDescent="0.3"/>
    <row r="3141" hidden="1" x14ac:dyDescent="0.3"/>
    <row r="3142" hidden="1" x14ac:dyDescent="0.3"/>
    <row r="3143" hidden="1" x14ac:dyDescent="0.3"/>
    <row r="3144" hidden="1" x14ac:dyDescent="0.3"/>
    <row r="3145" hidden="1" x14ac:dyDescent="0.3"/>
    <row r="3146" hidden="1" x14ac:dyDescent="0.3"/>
    <row r="3147" hidden="1" x14ac:dyDescent="0.3"/>
    <row r="3148" hidden="1" x14ac:dyDescent="0.3"/>
    <row r="3149" hidden="1" x14ac:dyDescent="0.3"/>
    <row r="3150" hidden="1" x14ac:dyDescent="0.3"/>
    <row r="3151" hidden="1" x14ac:dyDescent="0.3"/>
    <row r="3152" hidden="1" x14ac:dyDescent="0.3"/>
    <row r="3153" hidden="1" x14ac:dyDescent="0.3"/>
    <row r="3154" hidden="1" x14ac:dyDescent="0.3"/>
    <row r="3155" hidden="1" x14ac:dyDescent="0.3"/>
    <row r="3156" hidden="1" x14ac:dyDescent="0.3"/>
    <row r="3157" hidden="1" x14ac:dyDescent="0.3"/>
    <row r="3158" hidden="1" x14ac:dyDescent="0.3"/>
    <row r="3159" hidden="1" x14ac:dyDescent="0.3"/>
    <row r="3160" hidden="1" x14ac:dyDescent="0.3"/>
    <row r="3161" hidden="1" x14ac:dyDescent="0.3"/>
    <row r="3162" hidden="1" x14ac:dyDescent="0.3"/>
    <row r="3163" hidden="1" x14ac:dyDescent="0.3"/>
    <row r="3164" hidden="1" x14ac:dyDescent="0.3"/>
    <row r="3165" hidden="1" x14ac:dyDescent="0.3"/>
    <row r="3166" hidden="1" x14ac:dyDescent="0.3"/>
    <row r="3167" hidden="1" x14ac:dyDescent="0.3"/>
    <row r="3168" hidden="1" x14ac:dyDescent="0.3"/>
    <row r="3169" hidden="1" x14ac:dyDescent="0.3"/>
    <row r="3170" hidden="1" x14ac:dyDescent="0.3"/>
    <row r="3171" hidden="1" x14ac:dyDescent="0.3"/>
    <row r="3172" hidden="1" x14ac:dyDescent="0.3"/>
    <row r="3173" hidden="1" x14ac:dyDescent="0.3"/>
    <row r="3174" hidden="1" x14ac:dyDescent="0.3"/>
    <row r="3175" hidden="1" x14ac:dyDescent="0.3"/>
    <row r="3176" hidden="1" x14ac:dyDescent="0.3"/>
    <row r="3177" hidden="1" x14ac:dyDescent="0.3"/>
    <row r="3178" hidden="1" x14ac:dyDescent="0.3"/>
    <row r="3179" hidden="1" x14ac:dyDescent="0.3"/>
    <row r="3180" hidden="1" x14ac:dyDescent="0.3"/>
    <row r="3181" hidden="1" x14ac:dyDescent="0.3"/>
    <row r="3182" hidden="1" x14ac:dyDescent="0.3"/>
    <row r="3183" hidden="1" x14ac:dyDescent="0.3"/>
    <row r="3184" hidden="1" x14ac:dyDescent="0.3"/>
    <row r="3185" hidden="1" x14ac:dyDescent="0.3"/>
    <row r="3186" hidden="1" x14ac:dyDescent="0.3"/>
    <row r="3187" hidden="1" x14ac:dyDescent="0.3"/>
    <row r="3188" hidden="1" x14ac:dyDescent="0.3"/>
    <row r="3189" hidden="1" x14ac:dyDescent="0.3"/>
    <row r="3190" hidden="1" x14ac:dyDescent="0.3"/>
    <row r="3191" hidden="1" x14ac:dyDescent="0.3"/>
    <row r="3192" hidden="1" x14ac:dyDescent="0.3"/>
    <row r="3193" hidden="1" x14ac:dyDescent="0.3"/>
    <row r="3194" hidden="1" x14ac:dyDescent="0.3"/>
    <row r="3195" hidden="1" x14ac:dyDescent="0.3"/>
    <row r="3196" hidden="1" x14ac:dyDescent="0.3"/>
    <row r="3197" hidden="1" x14ac:dyDescent="0.3"/>
    <row r="3198" hidden="1" x14ac:dyDescent="0.3"/>
    <row r="3199" hidden="1" x14ac:dyDescent="0.3"/>
    <row r="3200" hidden="1" x14ac:dyDescent="0.3"/>
    <row r="3201" hidden="1" x14ac:dyDescent="0.3"/>
    <row r="3202" hidden="1" x14ac:dyDescent="0.3"/>
    <row r="3203" hidden="1" x14ac:dyDescent="0.3"/>
    <row r="3204" hidden="1" x14ac:dyDescent="0.3"/>
    <row r="3205" hidden="1" x14ac:dyDescent="0.3"/>
    <row r="3206" hidden="1" x14ac:dyDescent="0.3"/>
    <row r="3207" hidden="1" x14ac:dyDescent="0.3"/>
    <row r="3208" hidden="1" x14ac:dyDescent="0.3"/>
    <row r="3209" hidden="1" x14ac:dyDescent="0.3"/>
    <row r="3210" hidden="1" x14ac:dyDescent="0.3"/>
    <row r="3211" hidden="1" x14ac:dyDescent="0.3"/>
    <row r="3212" hidden="1" x14ac:dyDescent="0.3"/>
    <row r="3213" hidden="1" x14ac:dyDescent="0.3"/>
    <row r="3214" hidden="1" x14ac:dyDescent="0.3"/>
    <row r="3215" hidden="1" x14ac:dyDescent="0.3"/>
    <row r="3216" hidden="1" x14ac:dyDescent="0.3"/>
    <row r="3217" hidden="1" x14ac:dyDescent="0.3"/>
    <row r="3218" hidden="1" x14ac:dyDescent="0.3"/>
    <row r="3219" hidden="1" x14ac:dyDescent="0.3"/>
    <row r="3220" hidden="1" x14ac:dyDescent="0.3"/>
    <row r="3221" hidden="1" x14ac:dyDescent="0.3"/>
    <row r="3222" hidden="1" x14ac:dyDescent="0.3"/>
    <row r="3223" hidden="1" x14ac:dyDescent="0.3"/>
    <row r="3224" hidden="1" x14ac:dyDescent="0.3"/>
    <row r="3225" hidden="1" x14ac:dyDescent="0.3"/>
    <row r="3226" hidden="1" x14ac:dyDescent="0.3"/>
    <row r="3227" hidden="1" x14ac:dyDescent="0.3"/>
    <row r="3228" hidden="1" x14ac:dyDescent="0.3"/>
    <row r="3229" hidden="1" x14ac:dyDescent="0.3"/>
    <row r="3230" hidden="1" x14ac:dyDescent="0.3"/>
    <row r="3231" hidden="1" x14ac:dyDescent="0.3"/>
    <row r="3232" hidden="1" x14ac:dyDescent="0.3"/>
    <row r="3233" hidden="1" x14ac:dyDescent="0.3"/>
    <row r="3234" hidden="1" x14ac:dyDescent="0.3"/>
    <row r="3235" hidden="1" x14ac:dyDescent="0.3"/>
    <row r="3236" hidden="1" x14ac:dyDescent="0.3"/>
    <row r="3237" hidden="1" x14ac:dyDescent="0.3"/>
    <row r="3238" hidden="1" x14ac:dyDescent="0.3"/>
    <row r="3239" hidden="1" x14ac:dyDescent="0.3"/>
    <row r="3240" hidden="1" x14ac:dyDescent="0.3"/>
    <row r="3241" hidden="1" x14ac:dyDescent="0.3"/>
    <row r="3242" hidden="1" x14ac:dyDescent="0.3"/>
    <row r="3243" hidden="1" x14ac:dyDescent="0.3"/>
    <row r="3244" hidden="1" x14ac:dyDescent="0.3"/>
    <row r="3245" hidden="1" x14ac:dyDescent="0.3"/>
    <row r="3246" hidden="1" x14ac:dyDescent="0.3"/>
    <row r="3247" hidden="1" x14ac:dyDescent="0.3"/>
    <row r="3248" hidden="1" x14ac:dyDescent="0.3"/>
    <row r="3249" hidden="1" x14ac:dyDescent="0.3"/>
    <row r="3250" hidden="1" x14ac:dyDescent="0.3"/>
    <row r="3251" hidden="1" x14ac:dyDescent="0.3"/>
    <row r="3252" hidden="1" x14ac:dyDescent="0.3"/>
    <row r="3253" hidden="1" x14ac:dyDescent="0.3"/>
    <row r="3254" hidden="1" x14ac:dyDescent="0.3"/>
    <row r="3255" hidden="1" x14ac:dyDescent="0.3"/>
    <row r="3256" hidden="1" x14ac:dyDescent="0.3"/>
    <row r="3257" hidden="1" x14ac:dyDescent="0.3"/>
    <row r="3258" hidden="1" x14ac:dyDescent="0.3"/>
    <row r="3259" hidden="1" x14ac:dyDescent="0.3"/>
    <row r="3260" hidden="1" x14ac:dyDescent="0.3"/>
    <row r="3261" hidden="1" x14ac:dyDescent="0.3"/>
    <row r="3262" hidden="1" x14ac:dyDescent="0.3"/>
    <row r="3263" hidden="1" x14ac:dyDescent="0.3"/>
    <row r="3264" hidden="1" x14ac:dyDescent="0.3"/>
    <row r="3265" hidden="1" x14ac:dyDescent="0.3"/>
    <row r="3266" hidden="1" x14ac:dyDescent="0.3"/>
    <row r="3267" hidden="1" x14ac:dyDescent="0.3"/>
    <row r="3268" hidden="1" x14ac:dyDescent="0.3"/>
    <row r="3269" hidden="1" x14ac:dyDescent="0.3"/>
    <row r="3270" hidden="1" x14ac:dyDescent="0.3"/>
    <row r="3271" hidden="1" x14ac:dyDescent="0.3"/>
    <row r="3272" hidden="1" x14ac:dyDescent="0.3"/>
    <row r="3273" hidden="1" x14ac:dyDescent="0.3"/>
    <row r="3274" hidden="1" x14ac:dyDescent="0.3"/>
    <row r="3275" hidden="1" x14ac:dyDescent="0.3"/>
    <row r="3276" hidden="1" x14ac:dyDescent="0.3"/>
    <row r="3277" hidden="1" x14ac:dyDescent="0.3"/>
    <row r="3278" hidden="1" x14ac:dyDescent="0.3"/>
    <row r="3279" hidden="1" x14ac:dyDescent="0.3"/>
    <row r="3280" hidden="1" x14ac:dyDescent="0.3"/>
    <row r="3281" hidden="1" x14ac:dyDescent="0.3"/>
    <row r="3282" hidden="1" x14ac:dyDescent="0.3"/>
    <row r="3283" hidden="1" x14ac:dyDescent="0.3"/>
    <row r="3284" hidden="1" x14ac:dyDescent="0.3"/>
    <row r="3285" hidden="1" x14ac:dyDescent="0.3"/>
    <row r="3286" hidden="1" x14ac:dyDescent="0.3"/>
    <row r="3287" hidden="1" x14ac:dyDescent="0.3"/>
    <row r="3288" hidden="1" x14ac:dyDescent="0.3"/>
    <row r="3289" hidden="1" x14ac:dyDescent="0.3"/>
    <row r="3290" hidden="1" x14ac:dyDescent="0.3"/>
    <row r="3291" hidden="1" x14ac:dyDescent="0.3"/>
    <row r="3292" hidden="1" x14ac:dyDescent="0.3"/>
    <row r="3293" hidden="1" x14ac:dyDescent="0.3"/>
    <row r="3294" hidden="1" x14ac:dyDescent="0.3"/>
    <row r="3295" hidden="1" x14ac:dyDescent="0.3"/>
    <row r="3296" hidden="1" x14ac:dyDescent="0.3"/>
    <row r="3297" hidden="1" x14ac:dyDescent="0.3"/>
    <row r="3298" hidden="1" x14ac:dyDescent="0.3"/>
    <row r="3299" hidden="1" x14ac:dyDescent="0.3"/>
    <row r="3300" hidden="1" x14ac:dyDescent="0.3"/>
    <row r="3301" hidden="1" x14ac:dyDescent="0.3"/>
    <row r="3302" hidden="1" x14ac:dyDescent="0.3"/>
    <row r="3303" hidden="1" x14ac:dyDescent="0.3"/>
    <row r="3304" hidden="1" x14ac:dyDescent="0.3"/>
    <row r="3305" hidden="1" x14ac:dyDescent="0.3"/>
    <row r="3306" hidden="1" x14ac:dyDescent="0.3"/>
    <row r="3307" hidden="1" x14ac:dyDescent="0.3"/>
    <row r="3308" hidden="1" x14ac:dyDescent="0.3"/>
    <row r="3309" hidden="1" x14ac:dyDescent="0.3"/>
    <row r="3310" hidden="1" x14ac:dyDescent="0.3"/>
    <row r="3311" hidden="1" x14ac:dyDescent="0.3"/>
    <row r="3312" hidden="1" x14ac:dyDescent="0.3"/>
    <row r="3313" hidden="1" x14ac:dyDescent="0.3"/>
    <row r="3314" hidden="1" x14ac:dyDescent="0.3"/>
    <row r="3315" hidden="1" x14ac:dyDescent="0.3"/>
    <row r="3316" hidden="1" x14ac:dyDescent="0.3"/>
    <row r="3317" hidden="1" x14ac:dyDescent="0.3"/>
    <row r="3318" hidden="1" x14ac:dyDescent="0.3"/>
    <row r="3319" hidden="1" x14ac:dyDescent="0.3"/>
    <row r="3320" hidden="1" x14ac:dyDescent="0.3"/>
    <row r="3321" hidden="1" x14ac:dyDescent="0.3"/>
    <row r="3322" hidden="1" x14ac:dyDescent="0.3"/>
    <row r="3323" hidden="1" x14ac:dyDescent="0.3"/>
    <row r="3324" hidden="1" x14ac:dyDescent="0.3"/>
    <row r="3325" hidden="1" x14ac:dyDescent="0.3"/>
    <row r="3326" hidden="1" x14ac:dyDescent="0.3"/>
    <row r="3327" hidden="1" x14ac:dyDescent="0.3"/>
    <row r="3328" hidden="1" x14ac:dyDescent="0.3"/>
    <row r="3329" hidden="1" x14ac:dyDescent="0.3"/>
    <row r="3330" hidden="1" x14ac:dyDescent="0.3"/>
    <row r="3331" hidden="1" x14ac:dyDescent="0.3"/>
    <row r="3332" hidden="1" x14ac:dyDescent="0.3"/>
    <row r="3333" hidden="1" x14ac:dyDescent="0.3"/>
    <row r="3334" hidden="1" x14ac:dyDescent="0.3"/>
    <row r="3335" hidden="1" x14ac:dyDescent="0.3"/>
    <row r="3336" hidden="1" x14ac:dyDescent="0.3"/>
    <row r="3337" hidden="1" x14ac:dyDescent="0.3"/>
    <row r="3338" hidden="1" x14ac:dyDescent="0.3"/>
    <row r="3339" hidden="1" x14ac:dyDescent="0.3"/>
    <row r="3340" hidden="1" x14ac:dyDescent="0.3"/>
    <row r="3341" hidden="1" x14ac:dyDescent="0.3"/>
    <row r="3342" hidden="1" x14ac:dyDescent="0.3"/>
    <row r="3343" hidden="1" x14ac:dyDescent="0.3"/>
    <row r="3344" hidden="1" x14ac:dyDescent="0.3"/>
    <row r="3345" hidden="1" x14ac:dyDescent="0.3"/>
    <row r="3346" hidden="1" x14ac:dyDescent="0.3"/>
    <row r="3347" hidden="1" x14ac:dyDescent="0.3"/>
    <row r="3348" hidden="1" x14ac:dyDescent="0.3"/>
    <row r="3349" hidden="1" x14ac:dyDescent="0.3"/>
    <row r="3350" hidden="1" x14ac:dyDescent="0.3"/>
    <row r="3351" hidden="1" x14ac:dyDescent="0.3"/>
    <row r="3352" hidden="1" x14ac:dyDescent="0.3"/>
    <row r="3353" hidden="1" x14ac:dyDescent="0.3"/>
    <row r="3354" hidden="1" x14ac:dyDescent="0.3"/>
    <row r="3355" hidden="1" x14ac:dyDescent="0.3"/>
    <row r="3356" hidden="1" x14ac:dyDescent="0.3"/>
    <row r="3357" hidden="1" x14ac:dyDescent="0.3"/>
    <row r="3358" hidden="1" x14ac:dyDescent="0.3"/>
    <row r="3359" hidden="1" x14ac:dyDescent="0.3"/>
    <row r="3360" hidden="1" x14ac:dyDescent="0.3"/>
    <row r="3361" hidden="1" x14ac:dyDescent="0.3"/>
    <row r="3362" hidden="1" x14ac:dyDescent="0.3"/>
    <row r="3363" hidden="1" x14ac:dyDescent="0.3"/>
    <row r="3364" hidden="1" x14ac:dyDescent="0.3"/>
    <row r="3365" hidden="1" x14ac:dyDescent="0.3"/>
    <row r="3366" hidden="1" x14ac:dyDescent="0.3"/>
    <row r="3367" hidden="1" x14ac:dyDescent="0.3"/>
    <row r="3368" hidden="1" x14ac:dyDescent="0.3"/>
    <row r="3369" hidden="1" x14ac:dyDescent="0.3"/>
    <row r="3370" hidden="1" x14ac:dyDescent="0.3"/>
    <row r="3371" hidden="1" x14ac:dyDescent="0.3"/>
    <row r="3372" hidden="1" x14ac:dyDescent="0.3"/>
    <row r="3373" hidden="1" x14ac:dyDescent="0.3"/>
    <row r="3374" hidden="1" x14ac:dyDescent="0.3"/>
    <row r="3375" hidden="1" x14ac:dyDescent="0.3"/>
    <row r="3376" hidden="1" x14ac:dyDescent="0.3"/>
    <row r="3377" hidden="1" x14ac:dyDescent="0.3"/>
    <row r="3378" hidden="1" x14ac:dyDescent="0.3"/>
    <row r="3379" hidden="1" x14ac:dyDescent="0.3"/>
    <row r="3380" hidden="1" x14ac:dyDescent="0.3"/>
    <row r="3381" hidden="1" x14ac:dyDescent="0.3"/>
    <row r="3382" hidden="1" x14ac:dyDescent="0.3"/>
    <row r="3383" hidden="1" x14ac:dyDescent="0.3"/>
    <row r="3384" hidden="1" x14ac:dyDescent="0.3"/>
    <row r="3385" hidden="1" x14ac:dyDescent="0.3"/>
    <row r="3386" hidden="1" x14ac:dyDescent="0.3"/>
    <row r="3387" hidden="1" x14ac:dyDescent="0.3"/>
    <row r="3388" hidden="1" x14ac:dyDescent="0.3"/>
    <row r="3389" hidden="1" x14ac:dyDescent="0.3"/>
    <row r="3390" hidden="1" x14ac:dyDescent="0.3"/>
    <row r="3391" hidden="1" x14ac:dyDescent="0.3"/>
    <row r="3392" hidden="1" x14ac:dyDescent="0.3"/>
    <row r="3393" hidden="1" x14ac:dyDescent="0.3"/>
    <row r="3394" hidden="1" x14ac:dyDescent="0.3"/>
    <row r="3395" hidden="1" x14ac:dyDescent="0.3"/>
    <row r="3396" hidden="1" x14ac:dyDescent="0.3"/>
    <row r="3397" hidden="1" x14ac:dyDescent="0.3"/>
    <row r="3398" hidden="1" x14ac:dyDescent="0.3"/>
    <row r="3399" hidden="1" x14ac:dyDescent="0.3"/>
    <row r="3400" hidden="1" x14ac:dyDescent="0.3"/>
    <row r="3401" hidden="1" x14ac:dyDescent="0.3"/>
    <row r="3402" hidden="1" x14ac:dyDescent="0.3"/>
    <row r="3403" hidden="1" x14ac:dyDescent="0.3"/>
    <row r="3404" hidden="1" x14ac:dyDescent="0.3"/>
    <row r="3405" hidden="1" x14ac:dyDescent="0.3"/>
    <row r="3406" hidden="1" x14ac:dyDescent="0.3"/>
    <row r="3407" hidden="1" x14ac:dyDescent="0.3"/>
    <row r="3408" hidden="1" x14ac:dyDescent="0.3"/>
    <row r="3409" hidden="1" x14ac:dyDescent="0.3"/>
    <row r="3410" hidden="1" x14ac:dyDescent="0.3"/>
    <row r="3411" hidden="1" x14ac:dyDescent="0.3"/>
    <row r="3412" hidden="1" x14ac:dyDescent="0.3"/>
    <row r="3413" hidden="1" x14ac:dyDescent="0.3"/>
    <row r="3414" hidden="1" x14ac:dyDescent="0.3"/>
    <row r="3415" hidden="1" x14ac:dyDescent="0.3"/>
    <row r="3416" hidden="1" x14ac:dyDescent="0.3"/>
    <row r="3417" hidden="1" x14ac:dyDescent="0.3"/>
    <row r="3418" hidden="1" x14ac:dyDescent="0.3"/>
    <row r="3419" hidden="1" x14ac:dyDescent="0.3"/>
    <row r="3420" hidden="1" x14ac:dyDescent="0.3"/>
    <row r="3421" hidden="1" x14ac:dyDescent="0.3"/>
    <row r="3422" hidden="1" x14ac:dyDescent="0.3"/>
    <row r="3423" hidden="1" x14ac:dyDescent="0.3"/>
    <row r="3424" hidden="1" x14ac:dyDescent="0.3"/>
    <row r="3425" hidden="1" x14ac:dyDescent="0.3"/>
    <row r="3426" hidden="1" x14ac:dyDescent="0.3"/>
    <row r="3427" hidden="1" x14ac:dyDescent="0.3"/>
    <row r="3428" hidden="1" x14ac:dyDescent="0.3"/>
    <row r="3429" hidden="1" x14ac:dyDescent="0.3"/>
    <row r="3430" hidden="1" x14ac:dyDescent="0.3"/>
    <row r="3431" hidden="1" x14ac:dyDescent="0.3"/>
    <row r="3432" hidden="1" x14ac:dyDescent="0.3"/>
    <row r="3433" hidden="1" x14ac:dyDescent="0.3"/>
    <row r="3434" hidden="1" x14ac:dyDescent="0.3"/>
    <row r="3435" hidden="1" x14ac:dyDescent="0.3"/>
    <row r="3436" hidden="1" x14ac:dyDescent="0.3"/>
    <row r="3437" hidden="1" x14ac:dyDescent="0.3"/>
    <row r="3438" hidden="1" x14ac:dyDescent="0.3"/>
    <row r="3439" hidden="1" x14ac:dyDescent="0.3"/>
    <row r="3440" hidden="1" x14ac:dyDescent="0.3"/>
    <row r="3441" hidden="1" x14ac:dyDescent="0.3"/>
    <row r="3442" hidden="1" x14ac:dyDescent="0.3"/>
    <row r="3443" hidden="1" x14ac:dyDescent="0.3"/>
    <row r="3444" hidden="1" x14ac:dyDescent="0.3"/>
    <row r="3445" hidden="1" x14ac:dyDescent="0.3"/>
    <row r="3446" hidden="1" x14ac:dyDescent="0.3"/>
    <row r="3447" hidden="1" x14ac:dyDescent="0.3"/>
    <row r="3448" hidden="1" x14ac:dyDescent="0.3"/>
    <row r="3449" hidden="1" x14ac:dyDescent="0.3"/>
    <row r="3450" hidden="1" x14ac:dyDescent="0.3"/>
    <row r="3451" hidden="1" x14ac:dyDescent="0.3"/>
    <row r="3452" hidden="1" x14ac:dyDescent="0.3"/>
    <row r="3453" hidden="1" x14ac:dyDescent="0.3"/>
    <row r="3454" hidden="1" x14ac:dyDescent="0.3"/>
    <row r="3455" hidden="1" x14ac:dyDescent="0.3"/>
    <row r="3456" hidden="1" x14ac:dyDescent="0.3"/>
    <row r="3457" hidden="1" x14ac:dyDescent="0.3"/>
    <row r="3458" hidden="1" x14ac:dyDescent="0.3"/>
    <row r="3459" hidden="1" x14ac:dyDescent="0.3"/>
    <row r="3460" hidden="1" x14ac:dyDescent="0.3"/>
    <row r="3461" hidden="1" x14ac:dyDescent="0.3"/>
    <row r="3462" hidden="1" x14ac:dyDescent="0.3"/>
    <row r="3463" hidden="1" x14ac:dyDescent="0.3"/>
    <row r="3464" hidden="1" x14ac:dyDescent="0.3"/>
    <row r="3465" hidden="1" x14ac:dyDescent="0.3"/>
    <row r="3466" hidden="1" x14ac:dyDescent="0.3"/>
    <row r="3467" hidden="1" x14ac:dyDescent="0.3"/>
    <row r="3468" hidden="1" x14ac:dyDescent="0.3"/>
    <row r="3469" hidden="1" x14ac:dyDescent="0.3"/>
    <row r="3470" hidden="1" x14ac:dyDescent="0.3"/>
    <row r="3471" hidden="1" x14ac:dyDescent="0.3"/>
    <row r="3472" hidden="1" x14ac:dyDescent="0.3"/>
    <row r="3473" hidden="1" x14ac:dyDescent="0.3"/>
    <row r="3474" hidden="1" x14ac:dyDescent="0.3"/>
    <row r="3475" hidden="1" x14ac:dyDescent="0.3"/>
    <row r="3476" hidden="1" x14ac:dyDescent="0.3"/>
    <row r="3477" hidden="1" x14ac:dyDescent="0.3"/>
    <row r="3478" hidden="1" x14ac:dyDescent="0.3"/>
    <row r="3479" hidden="1" x14ac:dyDescent="0.3"/>
    <row r="3480" hidden="1" x14ac:dyDescent="0.3"/>
    <row r="3481" hidden="1" x14ac:dyDescent="0.3"/>
    <row r="3482" hidden="1" x14ac:dyDescent="0.3"/>
    <row r="3483" hidden="1" x14ac:dyDescent="0.3"/>
    <row r="3484" hidden="1" x14ac:dyDescent="0.3"/>
    <row r="3485" hidden="1" x14ac:dyDescent="0.3"/>
    <row r="3486" hidden="1" x14ac:dyDescent="0.3"/>
    <row r="3487" hidden="1" x14ac:dyDescent="0.3"/>
    <row r="3488" hidden="1" x14ac:dyDescent="0.3"/>
    <row r="3489" hidden="1" x14ac:dyDescent="0.3"/>
    <row r="3490" hidden="1" x14ac:dyDescent="0.3"/>
    <row r="3491" hidden="1" x14ac:dyDescent="0.3"/>
    <row r="3492" hidden="1" x14ac:dyDescent="0.3"/>
    <row r="3493" hidden="1" x14ac:dyDescent="0.3"/>
    <row r="3494" hidden="1" x14ac:dyDescent="0.3"/>
    <row r="3495" hidden="1" x14ac:dyDescent="0.3"/>
    <row r="3496" hidden="1" x14ac:dyDescent="0.3"/>
    <row r="3497" hidden="1" x14ac:dyDescent="0.3"/>
    <row r="3498" hidden="1" x14ac:dyDescent="0.3"/>
    <row r="3499" hidden="1" x14ac:dyDescent="0.3"/>
    <row r="3500" hidden="1" x14ac:dyDescent="0.3"/>
    <row r="3501" hidden="1" x14ac:dyDescent="0.3"/>
    <row r="3502" hidden="1" x14ac:dyDescent="0.3"/>
    <row r="3503" hidden="1" x14ac:dyDescent="0.3"/>
    <row r="3504" hidden="1" x14ac:dyDescent="0.3"/>
    <row r="3505" hidden="1" x14ac:dyDescent="0.3"/>
    <row r="3506" hidden="1" x14ac:dyDescent="0.3"/>
    <row r="3507" hidden="1" x14ac:dyDescent="0.3"/>
    <row r="3508" hidden="1" x14ac:dyDescent="0.3"/>
    <row r="3509" hidden="1" x14ac:dyDescent="0.3"/>
    <row r="3510" hidden="1" x14ac:dyDescent="0.3"/>
    <row r="3511" hidden="1" x14ac:dyDescent="0.3"/>
    <row r="3512" hidden="1" x14ac:dyDescent="0.3"/>
    <row r="3513" hidden="1" x14ac:dyDescent="0.3"/>
    <row r="3514" hidden="1" x14ac:dyDescent="0.3"/>
    <row r="3515" hidden="1" x14ac:dyDescent="0.3"/>
    <row r="3516" hidden="1" x14ac:dyDescent="0.3"/>
    <row r="3517" hidden="1" x14ac:dyDescent="0.3"/>
    <row r="3518" hidden="1" x14ac:dyDescent="0.3"/>
    <row r="3519" hidden="1" x14ac:dyDescent="0.3"/>
    <row r="3520" hidden="1" x14ac:dyDescent="0.3"/>
    <row r="3521" hidden="1" x14ac:dyDescent="0.3"/>
    <row r="3522" hidden="1" x14ac:dyDescent="0.3"/>
    <row r="3523" hidden="1" x14ac:dyDescent="0.3"/>
    <row r="3524" hidden="1" x14ac:dyDescent="0.3"/>
    <row r="3525" hidden="1" x14ac:dyDescent="0.3"/>
    <row r="3526" hidden="1" x14ac:dyDescent="0.3"/>
    <row r="3527" hidden="1" x14ac:dyDescent="0.3"/>
    <row r="3528" hidden="1" x14ac:dyDescent="0.3"/>
    <row r="3529" hidden="1" x14ac:dyDescent="0.3"/>
    <row r="3530" hidden="1" x14ac:dyDescent="0.3"/>
    <row r="3531" hidden="1" x14ac:dyDescent="0.3"/>
    <row r="3532" hidden="1" x14ac:dyDescent="0.3"/>
    <row r="3533" hidden="1" x14ac:dyDescent="0.3"/>
    <row r="3534" hidden="1" x14ac:dyDescent="0.3"/>
    <row r="3535" hidden="1" x14ac:dyDescent="0.3"/>
    <row r="3536" hidden="1" x14ac:dyDescent="0.3"/>
    <row r="3537" hidden="1" x14ac:dyDescent="0.3"/>
    <row r="3538" hidden="1" x14ac:dyDescent="0.3"/>
    <row r="3539" hidden="1" x14ac:dyDescent="0.3"/>
    <row r="3540" hidden="1" x14ac:dyDescent="0.3"/>
    <row r="3541" hidden="1" x14ac:dyDescent="0.3"/>
    <row r="3542" hidden="1" x14ac:dyDescent="0.3"/>
    <row r="3543" hidden="1" x14ac:dyDescent="0.3"/>
    <row r="3544" hidden="1" x14ac:dyDescent="0.3"/>
    <row r="3545" hidden="1" x14ac:dyDescent="0.3"/>
    <row r="3546" hidden="1" x14ac:dyDescent="0.3"/>
    <row r="3547" hidden="1" x14ac:dyDescent="0.3"/>
    <row r="3548" hidden="1" x14ac:dyDescent="0.3"/>
    <row r="3549" hidden="1" x14ac:dyDescent="0.3"/>
    <row r="3550" hidden="1" x14ac:dyDescent="0.3"/>
    <row r="3551" hidden="1" x14ac:dyDescent="0.3"/>
    <row r="3552" hidden="1" x14ac:dyDescent="0.3"/>
    <row r="3553" hidden="1" x14ac:dyDescent="0.3"/>
    <row r="3554" hidden="1" x14ac:dyDescent="0.3"/>
    <row r="3555" hidden="1" x14ac:dyDescent="0.3"/>
    <row r="3556" hidden="1" x14ac:dyDescent="0.3"/>
    <row r="3557" hidden="1" x14ac:dyDescent="0.3"/>
    <row r="3558" hidden="1" x14ac:dyDescent="0.3"/>
    <row r="3559" hidden="1" x14ac:dyDescent="0.3"/>
    <row r="3560" hidden="1" x14ac:dyDescent="0.3"/>
    <row r="3561" hidden="1" x14ac:dyDescent="0.3"/>
    <row r="3562" hidden="1" x14ac:dyDescent="0.3"/>
    <row r="3563" hidden="1" x14ac:dyDescent="0.3"/>
    <row r="3564" hidden="1" x14ac:dyDescent="0.3"/>
    <row r="3565" hidden="1" x14ac:dyDescent="0.3"/>
    <row r="3566" hidden="1" x14ac:dyDescent="0.3"/>
    <row r="3567" hidden="1" x14ac:dyDescent="0.3"/>
    <row r="3568" hidden="1" x14ac:dyDescent="0.3"/>
    <row r="3569" hidden="1" x14ac:dyDescent="0.3"/>
    <row r="3570" hidden="1" x14ac:dyDescent="0.3"/>
    <row r="3571" hidden="1" x14ac:dyDescent="0.3"/>
    <row r="3572" hidden="1" x14ac:dyDescent="0.3"/>
    <row r="3573" hidden="1" x14ac:dyDescent="0.3"/>
    <row r="3574" hidden="1" x14ac:dyDescent="0.3"/>
    <row r="3575" hidden="1" x14ac:dyDescent="0.3"/>
    <row r="3576" hidden="1" x14ac:dyDescent="0.3"/>
    <row r="3577" hidden="1" x14ac:dyDescent="0.3"/>
    <row r="3578" hidden="1" x14ac:dyDescent="0.3"/>
    <row r="3579" hidden="1" x14ac:dyDescent="0.3"/>
    <row r="3580" hidden="1" x14ac:dyDescent="0.3"/>
    <row r="3581" hidden="1" x14ac:dyDescent="0.3"/>
    <row r="3582" hidden="1" x14ac:dyDescent="0.3"/>
    <row r="3583" hidden="1" x14ac:dyDescent="0.3"/>
    <row r="3584" hidden="1" x14ac:dyDescent="0.3"/>
    <row r="3585" hidden="1" x14ac:dyDescent="0.3"/>
    <row r="3586" hidden="1" x14ac:dyDescent="0.3"/>
    <row r="3587" hidden="1" x14ac:dyDescent="0.3"/>
    <row r="3588" hidden="1" x14ac:dyDescent="0.3"/>
    <row r="3589" hidden="1" x14ac:dyDescent="0.3"/>
    <row r="3590" hidden="1" x14ac:dyDescent="0.3"/>
    <row r="3591" hidden="1" x14ac:dyDescent="0.3"/>
    <row r="3592" hidden="1" x14ac:dyDescent="0.3"/>
    <row r="3593" hidden="1" x14ac:dyDescent="0.3"/>
    <row r="3594" hidden="1" x14ac:dyDescent="0.3"/>
    <row r="3595" hidden="1" x14ac:dyDescent="0.3"/>
    <row r="3596" hidden="1" x14ac:dyDescent="0.3"/>
    <row r="3597" hidden="1" x14ac:dyDescent="0.3"/>
    <row r="3598" hidden="1" x14ac:dyDescent="0.3"/>
    <row r="3599" hidden="1" x14ac:dyDescent="0.3"/>
    <row r="3600" hidden="1" x14ac:dyDescent="0.3"/>
    <row r="3601" hidden="1" x14ac:dyDescent="0.3"/>
    <row r="3602" hidden="1" x14ac:dyDescent="0.3"/>
    <row r="3603" hidden="1" x14ac:dyDescent="0.3"/>
    <row r="3604" hidden="1" x14ac:dyDescent="0.3"/>
    <row r="3605" hidden="1" x14ac:dyDescent="0.3"/>
    <row r="3606" hidden="1" x14ac:dyDescent="0.3"/>
    <row r="3607" hidden="1" x14ac:dyDescent="0.3"/>
    <row r="3608" hidden="1" x14ac:dyDescent="0.3"/>
    <row r="3609" hidden="1" x14ac:dyDescent="0.3"/>
    <row r="3610" hidden="1" x14ac:dyDescent="0.3"/>
    <row r="3611" hidden="1" x14ac:dyDescent="0.3"/>
    <row r="3612" hidden="1" x14ac:dyDescent="0.3"/>
    <row r="3613" hidden="1" x14ac:dyDescent="0.3"/>
    <row r="3614" hidden="1" x14ac:dyDescent="0.3"/>
    <row r="3615" hidden="1" x14ac:dyDescent="0.3"/>
    <row r="3616" hidden="1" x14ac:dyDescent="0.3"/>
    <row r="3617" hidden="1" x14ac:dyDescent="0.3"/>
    <row r="3618" hidden="1" x14ac:dyDescent="0.3"/>
    <row r="3619" hidden="1" x14ac:dyDescent="0.3"/>
    <row r="3620" hidden="1" x14ac:dyDescent="0.3"/>
    <row r="3621" hidden="1" x14ac:dyDescent="0.3"/>
    <row r="3622" hidden="1" x14ac:dyDescent="0.3"/>
    <row r="3623" hidden="1" x14ac:dyDescent="0.3"/>
    <row r="3624" hidden="1" x14ac:dyDescent="0.3"/>
    <row r="3625" hidden="1" x14ac:dyDescent="0.3"/>
    <row r="3626" hidden="1" x14ac:dyDescent="0.3"/>
    <row r="3627" hidden="1" x14ac:dyDescent="0.3"/>
    <row r="3628" hidden="1" x14ac:dyDescent="0.3"/>
    <row r="3629" hidden="1" x14ac:dyDescent="0.3"/>
    <row r="3630" hidden="1" x14ac:dyDescent="0.3"/>
    <row r="3631" hidden="1" x14ac:dyDescent="0.3"/>
    <row r="3632" hidden="1" x14ac:dyDescent="0.3"/>
    <row r="3633" hidden="1" x14ac:dyDescent="0.3"/>
    <row r="3634" hidden="1" x14ac:dyDescent="0.3"/>
    <row r="3635" hidden="1" x14ac:dyDescent="0.3"/>
    <row r="3636" hidden="1" x14ac:dyDescent="0.3"/>
    <row r="3637" hidden="1" x14ac:dyDescent="0.3"/>
    <row r="3638" hidden="1" x14ac:dyDescent="0.3"/>
    <row r="3639" hidden="1" x14ac:dyDescent="0.3"/>
    <row r="3640" hidden="1" x14ac:dyDescent="0.3"/>
    <row r="3641" hidden="1" x14ac:dyDescent="0.3"/>
    <row r="3642" hidden="1" x14ac:dyDescent="0.3"/>
    <row r="3643" hidden="1" x14ac:dyDescent="0.3"/>
    <row r="3644" hidden="1" x14ac:dyDescent="0.3"/>
    <row r="3645" hidden="1" x14ac:dyDescent="0.3"/>
    <row r="3646" hidden="1" x14ac:dyDescent="0.3"/>
    <row r="3647" hidden="1" x14ac:dyDescent="0.3"/>
    <row r="3648" hidden="1" x14ac:dyDescent="0.3"/>
    <row r="3649" hidden="1" x14ac:dyDescent="0.3"/>
    <row r="3650" hidden="1" x14ac:dyDescent="0.3"/>
    <row r="3651" hidden="1" x14ac:dyDescent="0.3"/>
    <row r="3652" hidden="1" x14ac:dyDescent="0.3"/>
    <row r="3653" hidden="1" x14ac:dyDescent="0.3"/>
    <row r="3654" hidden="1" x14ac:dyDescent="0.3"/>
    <row r="3655" hidden="1" x14ac:dyDescent="0.3"/>
    <row r="3656" hidden="1" x14ac:dyDescent="0.3"/>
    <row r="3657" hidden="1" x14ac:dyDescent="0.3"/>
    <row r="3658" hidden="1" x14ac:dyDescent="0.3"/>
    <row r="3659" hidden="1" x14ac:dyDescent="0.3"/>
    <row r="3660" hidden="1" x14ac:dyDescent="0.3"/>
    <row r="3661" hidden="1" x14ac:dyDescent="0.3"/>
    <row r="3662" hidden="1" x14ac:dyDescent="0.3"/>
    <row r="3663" hidden="1" x14ac:dyDescent="0.3"/>
    <row r="3664" hidden="1" x14ac:dyDescent="0.3"/>
    <row r="3665" hidden="1" x14ac:dyDescent="0.3"/>
    <row r="3666" hidden="1" x14ac:dyDescent="0.3"/>
    <row r="3667" hidden="1" x14ac:dyDescent="0.3"/>
    <row r="3668" hidden="1" x14ac:dyDescent="0.3"/>
    <row r="3669" hidden="1" x14ac:dyDescent="0.3"/>
    <row r="3670" hidden="1" x14ac:dyDescent="0.3"/>
    <row r="3671" hidden="1" x14ac:dyDescent="0.3"/>
    <row r="3672" hidden="1" x14ac:dyDescent="0.3"/>
    <row r="3673" hidden="1" x14ac:dyDescent="0.3"/>
    <row r="3674" hidden="1" x14ac:dyDescent="0.3"/>
    <row r="3675" hidden="1" x14ac:dyDescent="0.3"/>
    <row r="3676" hidden="1" x14ac:dyDescent="0.3"/>
    <row r="3677" hidden="1" x14ac:dyDescent="0.3"/>
    <row r="3678" hidden="1" x14ac:dyDescent="0.3"/>
    <row r="3679" hidden="1" x14ac:dyDescent="0.3"/>
    <row r="3680" hidden="1" x14ac:dyDescent="0.3"/>
    <row r="3681" hidden="1" x14ac:dyDescent="0.3"/>
    <row r="3682" hidden="1" x14ac:dyDescent="0.3"/>
    <row r="3683" hidden="1" x14ac:dyDescent="0.3"/>
    <row r="3684" hidden="1" x14ac:dyDescent="0.3"/>
    <row r="3685" hidden="1" x14ac:dyDescent="0.3"/>
    <row r="3686" hidden="1" x14ac:dyDescent="0.3"/>
    <row r="3687" hidden="1" x14ac:dyDescent="0.3"/>
    <row r="3688" hidden="1" x14ac:dyDescent="0.3"/>
    <row r="3689" hidden="1" x14ac:dyDescent="0.3"/>
    <row r="3690" hidden="1" x14ac:dyDescent="0.3"/>
    <row r="3691" hidden="1" x14ac:dyDescent="0.3"/>
    <row r="3692" hidden="1" x14ac:dyDescent="0.3"/>
    <row r="3693" hidden="1" x14ac:dyDescent="0.3"/>
    <row r="3694" hidden="1" x14ac:dyDescent="0.3"/>
    <row r="3695" hidden="1" x14ac:dyDescent="0.3"/>
    <row r="3696" hidden="1" x14ac:dyDescent="0.3"/>
    <row r="3697" hidden="1" x14ac:dyDescent="0.3"/>
    <row r="3698" hidden="1" x14ac:dyDescent="0.3"/>
    <row r="3699" hidden="1" x14ac:dyDescent="0.3"/>
    <row r="3700" hidden="1" x14ac:dyDescent="0.3"/>
    <row r="3701" hidden="1" x14ac:dyDescent="0.3"/>
    <row r="3702" hidden="1" x14ac:dyDescent="0.3"/>
    <row r="3703" hidden="1" x14ac:dyDescent="0.3"/>
    <row r="3704" hidden="1" x14ac:dyDescent="0.3"/>
    <row r="3705" hidden="1" x14ac:dyDescent="0.3"/>
    <row r="3706" hidden="1" x14ac:dyDescent="0.3"/>
    <row r="3707" hidden="1" x14ac:dyDescent="0.3"/>
    <row r="3708" hidden="1" x14ac:dyDescent="0.3"/>
    <row r="3709" hidden="1" x14ac:dyDescent="0.3"/>
    <row r="3710" hidden="1" x14ac:dyDescent="0.3"/>
    <row r="3711" hidden="1" x14ac:dyDescent="0.3"/>
    <row r="3712" hidden="1" x14ac:dyDescent="0.3"/>
    <row r="3713" hidden="1" x14ac:dyDescent="0.3"/>
    <row r="3714" hidden="1" x14ac:dyDescent="0.3"/>
    <row r="3715" hidden="1" x14ac:dyDescent="0.3"/>
    <row r="3716" hidden="1" x14ac:dyDescent="0.3"/>
    <row r="3717" hidden="1" x14ac:dyDescent="0.3"/>
    <row r="3718" hidden="1" x14ac:dyDescent="0.3"/>
    <row r="3719" hidden="1" x14ac:dyDescent="0.3"/>
    <row r="3720" hidden="1" x14ac:dyDescent="0.3"/>
    <row r="3721" hidden="1" x14ac:dyDescent="0.3"/>
    <row r="3722" hidden="1" x14ac:dyDescent="0.3"/>
    <row r="3723" hidden="1" x14ac:dyDescent="0.3"/>
    <row r="3724" hidden="1" x14ac:dyDescent="0.3"/>
    <row r="3725" hidden="1" x14ac:dyDescent="0.3"/>
    <row r="3726" hidden="1" x14ac:dyDescent="0.3"/>
    <row r="3727" hidden="1" x14ac:dyDescent="0.3"/>
    <row r="3728" hidden="1" x14ac:dyDescent="0.3"/>
    <row r="3729" hidden="1" x14ac:dyDescent="0.3"/>
    <row r="3730" hidden="1" x14ac:dyDescent="0.3"/>
    <row r="3731" hidden="1" x14ac:dyDescent="0.3"/>
    <row r="3732" hidden="1" x14ac:dyDescent="0.3"/>
    <row r="3733" hidden="1" x14ac:dyDescent="0.3"/>
    <row r="3734" hidden="1" x14ac:dyDescent="0.3"/>
    <row r="3735" hidden="1" x14ac:dyDescent="0.3"/>
    <row r="3736" hidden="1" x14ac:dyDescent="0.3"/>
    <row r="3737" hidden="1" x14ac:dyDescent="0.3"/>
    <row r="3738" hidden="1" x14ac:dyDescent="0.3"/>
    <row r="3739" hidden="1" x14ac:dyDescent="0.3"/>
    <row r="3740" hidden="1" x14ac:dyDescent="0.3"/>
    <row r="3741" hidden="1" x14ac:dyDescent="0.3"/>
    <row r="3742" hidden="1" x14ac:dyDescent="0.3"/>
    <row r="3743" hidden="1" x14ac:dyDescent="0.3"/>
    <row r="3744" hidden="1" x14ac:dyDescent="0.3"/>
    <row r="3745" hidden="1" x14ac:dyDescent="0.3"/>
    <row r="3746" hidden="1" x14ac:dyDescent="0.3"/>
    <row r="3747" hidden="1" x14ac:dyDescent="0.3"/>
    <row r="3748" hidden="1" x14ac:dyDescent="0.3"/>
    <row r="3749" hidden="1" x14ac:dyDescent="0.3"/>
    <row r="3750" hidden="1" x14ac:dyDescent="0.3"/>
    <row r="3751" hidden="1" x14ac:dyDescent="0.3"/>
    <row r="3752" hidden="1" x14ac:dyDescent="0.3"/>
    <row r="3753" hidden="1" x14ac:dyDescent="0.3"/>
    <row r="3754" hidden="1" x14ac:dyDescent="0.3"/>
    <row r="3755" hidden="1" x14ac:dyDescent="0.3"/>
    <row r="3756" hidden="1" x14ac:dyDescent="0.3"/>
    <row r="3757" hidden="1" x14ac:dyDescent="0.3"/>
    <row r="3758" hidden="1" x14ac:dyDescent="0.3"/>
    <row r="3759" hidden="1" x14ac:dyDescent="0.3"/>
    <row r="3760" hidden="1" x14ac:dyDescent="0.3"/>
    <row r="3761" hidden="1" x14ac:dyDescent="0.3"/>
    <row r="3762" hidden="1" x14ac:dyDescent="0.3"/>
    <row r="3763" hidden="1" x14ac:dyDescent="0.3"/>
    <row r="3764" hidden="1" x14ac:dyDescent="0.3"/>
    <row r="3765" hidden="1" x14ac:dyDescent="0.3"/>
    <row r="3766" hidden="1" x14ac:dyDescent="0.3"/>
    <row r="3767" hidden="1" x14ac:dyDescent="0.3"/>
    <row r="3768" hidden="1" x14ac:dyDescent="0.3"/>
    <row r="3769" hidden="1" x14ac:dyDescent="0.3"/>
    <row r="3770" hidden="1" x14ac:dyDescent="0.3"/>
    <row r="3771" hidden="1" x14ac:dyDescent="0.3"/>
    <row r="3772" hidden="1" x14ac:dyDescent="0.3"/>
    <row r="3773" hidden="1" x14ac:dyDescent="0.3"/>
    <row r="3774" hidden="1" x14ac:dyDescent="0.3"/>
    <row r="3775" hidden="1" x14ac:dyDescent="0.3"/>
    <row r="3776" hidden="1" x14ac:dyDescent="0.3"/>
    <row r="3777" hidden="1" x14ac:dyDescent="0.3"/>
    <row r="3778" hidden="1" x14ac:dyDescent="0.3"/>
    <row r="3779" hidden="1" x14ac:dyDescent="0.3"/>
    <row r="3780" hidden="1" x14ac:dyDescent="0.3"/>
    <row r="3781" hidden="1" x14ac:dyDescent="0.3"/>
    <row r="3782" hidden="1" x14ac:dyDescent="0.3"/>
    <row r="3783" hidden="1" x14ac:dyDescent="0.3"/>
    <row r="3784" hidden="1" x14ac:dyDescent="0.3"/>
    <row r="3785" hidden="1" x14ac:dyDescent="0.3"/>
    <row r="3786" hidden="1" x14ac:dyDescent="0.3"/>
    <row r="3787" hidden="1" x14ac:dyDescent="0.3"/>
    <row r="3788" hidden="1" x14ac:dyDescent="0.3"/>
    <row r="3789" hidden="1" x14ac:dyDescent="0.3"/>
    <row r="3790" hidden="1" x14ac:dyDescent="0.3"/>
    <row r="3791" hidden="1" x14ac:dyDescent="0.3"/>
    <row r="3792" hidden="1" x14ac:dyDescent="0.3"/>
    <row r="3793" hidden="1" x14ac:dyDescent="0.3"/>
    <row r="3794" hidden="1" x14ac:dyDescent="0.3"/>
    <row r="3795" hidden="1" x14ac:dyDescent="0.3"/>
    <row r="3796" hidden="1" x14ac:dyDescent="0.3"/>
    <row r="3797" hidden="1" x14ac:dyDescent="0.3"/>
    <row r="3798" hidden="1" x14ac:dyDescent="0.3"/>
    <row r="3799" hidden="1" x14ac:dyDescent="0.3"/>
    <row r="3800" hidden="1" x14ac:dyDescent="0.3"/>
    <row r="3801" hidden="1" x14ac:dyDescent="0.3"/>
    <row r="3802" hidden="1" x14ac:dyDescent="0.3"/>
    <row r="3803" hidden="1" x14ac:dyDescent="0.3"/>
    <row r="3804" hidden="1" x14ac:dyDescent="0.3"/>
    <row r="3805" hidden="1" x14ac:dyDescent="0.3"/>
    <row r="3806" hidden="1" x14ac:dyDescent="0.3"/>
    <row r="3807" hidden="1" x14ac:dyDescent="0.3"/>
    <row r="3808" hidden="1" x14ac:dyDescent="0.3"/>
    <row r="3809" hidden="1" x14ac:dyDescent="0.3"/>
    <row r="3810" hidden="1" x14ac:dyDescent="0.3"/>
    <row r="3811" hidden="1" x14ac:dyDescent="0.3"/>
    <row r="3812" hidden="1" x14ac:dyDescent="0.3"/>
    <row r="3813" hidden="1" x14ac:dyDescent="0.3"/>
    <row r="3814" hidden="1" x14ac:dyDescent="0.3"/>
    <row r="3815" hidden="1" x14ac:dyDescent="0.3"/>
    <row r="3816" hidden="1" x14ac:dyDescent="0.3"/>
    <row r="3817" hidden="1" x14ac:dyDescent="0.3"/>
    <row r="3818" hidden="1" x14ac:dyDescent="0.3"/>
    <row r="3819" hidden="1" x14ac:dyDescent="0.3"/>
    <row r="3820" hidden="1" x14ac:dyDescent="0.3"/>
    <row r="3821" hidden="1" x14ac:dyDescent="0.3"/>
    <row r="3822" hidden="1" x14ac:dyDescent="0.3"/>
    <row r="3823" hidden="1" x14ac:dyDescent="0.3"/>
    <row r="3824" hidden="1" x14ac:dyDescent="0.3"/>
    <row r="3825" hidden="1" x14ac:dyDescent="0.3"/>
    <row r="3826" hidden="1" x14ac:dyDescent="0.3"/>
    <row r="3827" hidden="1" x14ac:dyDescent="0.3"/>
    <row r="3828" hidden="1" x14ac:dyDescent="0.3"/>
    <row r="3829" hidden="1" x14ac:dyDescent="0.3"/>
    <row r="3830" hidden="1" x14ac:dyDescent="0.3"/>
    <row r="3831" hidden="1" x14ac:dyDescent="0.3"/>
    <row r="3832" hidden="1" x14ac:dyDescent="0.3"/>
    <row r="3833" hidden="1" x14ac:dyDescent="0.3"/>
    <row r="3834" hidden="1" x14ac:dyDescent="0.3"/>
    <row r="3835" hidden="1" x14ac:dyDescent="0.3"/>
    <row r="3836" hidden="1" x14ac:dyDescent="0.3"/>
    <row r="3837" hidden="1" x14ac:dyDescent="0.3"/>
    <row r="3838" hidden="1" x14ac:dyDescent="0.3"/>
    <row r="3839" hidden="1" x14ac:dyDescent="0.3"/>
    <row r="3840" hidden="1" x14ac:dyDescent="0.3"/>
    <row r="3841" hidden="1" x14ac:dyDescent="0.3"/>
    <row r="3842" hidden="1" x14ac:dyDescent="0.3"/>
    <row r="3843" hidden="1" x14ac:dyDescent="0.3"/>
    <row r="3844" hidden="1" x14ac:dyDescent="0.3"/>
    <row r="3845" hidden="1" x14ac:dyDescent="0.3"/>
    <row r="3846" hidden="1" x14ac:dyDescent="0.3"/>
    <row r="3847" hidden="1" x14ac:dyDescent="0.3"/>
    <row r="3848" hidden="1" x14ac:dyDescent="0.3"/>
    <row r="3849" hidden="1" x14ac:dyDescent="0.3"/>
    <row r="3850" hidden="1" x14ac:dyDescent="0.3"/>
    <row r="3851" hidden="1" x14ac:dyDescent="0.3"/>
    <row r="3852" hidden="1" x14ac:dyDescent="0.3"/>
    <row r="3853" hidden="1" x14ac:dyDescent="0.3"/>
    <row r="3854" hidden="1" x14ac:dyDescent="0.3"/>
    <row r="3855" hidden="1" x14ac:dyDescent="0.3"/>
    <row r="3856" hidden="1" x14ac:dyDescent="0.3"/>
    <row r="3857" hidden="1" x14ac:dyDescent="0.3"/>
    <row r="3858" hidden="1" x14ac:dyDescent="0.3"/>
    <row r="3859" hidden="1" x14ac:dyDescent="0.3"/>
    <row r="3860" hidden="1" x14ac:dyDescent="0.3"/>
    <row r="3861" hidden="1" x14ac:dyDescent="0.3"/>
    <row r="3862" hidden="1" x14ac:dyDescent="0.3"/>
    <row r="3863" hidden="1" x14ac:dyDescent="0.3"/>
    <row r="3864" hidden="1" x14ac:dyDescent="0.3"/>
    <row r="3865" hidden="1" x14ac:dyDescent="0.3"/>
    <row r="3866" hidden="1" x14ac:dyDescent="0.3"/>
    <row r="3867" hidden="1" x14ac:dyDescent="0.3"/>
    <row r="3868" hidden="1" x14ac:dyDescent="0.3"/>
    <row r="3869" hidden="1" x14ac:dyDescent="0.3"/>
    <row r="3870" hidden="1" x14ac:dyDescent="0.3"/>
    <row r="3871" hidden="1" x14ac:dyDescent="0.3"/>
    <row r="3872" hidden="1" x14ac:dyDescent="0.3"/>
    <row r="3873" hidden="1" x14ac:dyDescent="0.3"/>
    <row r="3874" hidden="1" x14ac:dyDescent="0.3"/>
    <row r="3875" hidden="1" x14ac:dyDescent="0.3"/>
    <row r="3876" hidden="1" x14ac:dyDescent="0.3"/>
    <row r="3877" hidden="1" x14ac:dyDescent="0.3"/>
    <row r="3878" hidden="1" x14ac:dyDescent="0.3"/>
    <row r="3879" hidden="1" x14ac:dyDescent="0.3"/>
    <row r="3880" hidden="1" x14ac:dyDescent="0.3"/>
    <row r="3881" hidden="1" x14ac:dyDescent="0.3"/>
    <row r="3882" hidden="1" x14ac:dyDescent="0.3"/>
    <row r="3883" hidden="1" x14ac:dyDescent="0.3"/>
    <row r="3884" hidden="1" x14ac:dyDescent="0.3"/>
    <row r="3885" hidden="1" x14ac:dyDescent="0.3"/>
    <row r="3886" hidden="1" x14ac:dyDescent="0.3"/>
    <row r="3887" hidden="1" x14ac:dyDescent="0.3"/>
    <row r="3888" hidden="1" x14ac:dyDescent="0.3"/>
    <row r="3889" hidden="1" x14ac:dyDescent="0.3"/>
    <row r="3890" hidden="1" x14ac:dyDescent="0.3"/>
    <row r="3891" hidden="1" x14ac:dyDescent="0.3"/>
    <row r="3892" hidden="1" x14ac:dyDescent="0.3"/>
    <row r="3893" hidden="1" x14ac:dyDescent="0.3"/>
    <row r="3894" hidden="1" x14ac:dyDescent="0.3"/>
    <row r="3895" hidden="1" x14ac:dyDescent="0.3"/>
    <row r="3896" hidden="1" x14ac:dyDescent="0.3"/>
    <row r="3897" hidden="1" x14ac:dyDescent="0.3"/>
    <row r="3898" hidden="1" x14ac:dyDescent="0.3"/>
    <row r="3899" hidden="1" x14ac:dyDescent="0.3"/>
    <row r="3900" hidden="1" x14ac:dyDescent="0.3"/>
    <row r="3901" hidden="1" x14ac:dyDescent="0.3"/>
    <row r="3902" hidden="1" x14ac:dyDescent="0.3"/>
    <row r="3903" hidden="1" x14ac:dyDescent="0.3"/>
    <row r="3904" hidden="1" x14ac:dyDescent="0.3"/>
    <row r="3905" hidden="1" x14ac:dyDescent="0.3"/>
    <row r="3906" hidden="1" x14ac:dyDescent="0.3"/>
    <row r="3907" hidden="1" x14ac:dyDescent="0.3"/>
    <row r="3908" hidden="1" x14ac:dyDescent="0.3"/>
    <row r="3909" hidden="1" x14ac:dyDescent="0.3"/>
    <row r="3910" hidden="1" x14ac:dyDescent="0.3"/>
    <row r="3911" hidden="1" x14ac:dyDescent="0.3"/>
    <row r="3912" hidden="1" x14ac:dyDescent="0.3"/>
    <row r="3913" hidden="1" x14ac:dyDescent="0.3"/>
    <row r="3914" hidden="1" x14ac:dyDescent="0.3"/>
    <row r="3915" hidden="1" x14ac:dyDescent="0.3"/>
    <row r="3916" hidden="1" x14ac:dyDescent="0.3"/>
    <row r="3917" hidden="1" x14ac:dyDescent="0.3"/>
    <row r="3918" hidden="1" x14ac:dyDescent="0.3"/>
    <row r="3919" hidden="1" x14ac:dyDescent="0.3"/>
    <row r="3920" hidden="1" x14ac:dyDescent="0.3"/>
    <row r="3921" hidden="1" x14ac:dyDescent="0.3"/>
    <row r="3922" hidden="1" x14ac:dyDescent="0.3"/>
    <row r="3923" hidden="1" x14ac:dyDescent="0.3"/>
    <row r="3924" hidden="1" x14ac:dyDescent="0.3"/>
    <row r="3925" hidden="1" x14ac:dyDescent="0.3"/>
    <row r="3926" hidden="1" x14ac:dyDescent="0.3"/>
    <row r="3927" hidden="1" x14ac:dyDescent="0.3"/>
    <row r="3928" hidden="1" x14ac:dyDescent="0.3"/>
    <row r="3929" hidden="1" x14ac:dyDescent="0.3"/>
    <row r="3930" hidden="1" x14ac:dyDescent="0.3"/>
    <row r="3931" hidden="1" x14ac:dyDescent="0.3"/>
    <row r="3932" hidden="1" x14ac:dyDescent="0.3"/>
    <row r="3933" hidden="1" x14ac:dyDescent="0.3"/>
    <row r="3934" hidden="1" x14ac:dyDescent="0.3"/>
    <row r="3935" hidden="1" x14ac:dyDescent="0.3"/>
    <row r="3936" hidden="1" x14ac:dyDescent="0.3"/>
    <row r="3937" hidden="1" x14ac:dyDescent="0.3"/>
    <row r="3938" hidden="1" x14ac:dyDescent="0.3"/>
    <row r="3939" hidden="1" x14ac:dyDescent="0.3"/>
    <row r="3940" hidden="1" x14ac:dyDescent="0.3"/>
    <row r="3941" hidden="1" x14ac:dyDescent="0.3"/>
    <row r="3942" hidden="1" x14ac:dyDescent="0.3"/>
    <row r="3943" hidden="1" x14ac:dyDescent="0.3"/>
    <row r="3944" hidden="1" x14ac:dyDescent="0.3"/>
    <row r="3945" hidden="1" x14ac:dyDescent="0.3"/>
    <row r="3946" hidden="1" x14ac:dyDescent="0.3"/>
    <row r="3947" hidden="1" x14ac:dyDescent="0.3"/>
    <row r="3948" hidden="1" x14ac:dyDescent="0.3"/>
    <row r="3949" hidden="1" x14ac:dyDescent="0.3"/>
    <row r="3950" hidden="1" x14ac:dyDescent="0.3"/>
    <row r="3951" hidden="1" x14ac:dyDescent="0.3"/>
    <row r="3952" hidden="1" x14ac:dyDescent="0.3"/>
    <row r="3953" hidden="1" x14ac:dyDescent="0.3"/>
    <row r="3954" hidden="1" x14ac:dyDescent="0.3"/>
    <row r="3955" hidden="1" x14ac:dyDescent="0.3"/>
    <row r="3956" hidden="1" x14ac:dyDescent="0.3"/>
    <row r="3957" hidden="1" x14ac:dyDescent="0.3"/>
    <row r="3958" hidden="1" x14ac:dyDescent="0.3"/>
    <row r="3959" hidden="1" x14ac:dyDescent="0.3"/>
    <row r="3960" hidden="1" x14ac:dyDescent="0.3"/>
    <row r="3961" hidden="1" x14ac:dyDescent="0.3"/>
    <row r="3962" hidden="1" x14ac:dyDescent="0.3"/>
    <row r="3963" hidden="1" x14ac:dyDescent="0.3"/>
    <row r="3964" hidden="1" x14ac:dyDescent="0.3"/>
    <row r="3965" hidden="1" x14ac:dyDescent="0.3"/>
    <row r="3966" hidden="1" x14ac:dyDescent="0.3"/>
    <row r="3967" hidden="1" x14ac:dyDescent="0.3"/>
    <row r="3968" hidden="1" x14ac:dyDescent="0.3"/>
    <row r="3969" hidden="1" x14ac:dyDescent="0.3"/>
    <row r="3970" hidden="1" x14ac:dyDescent="0.3"/>
    <row r="3971" hidden="1" x14ac:dyDescent="0.3"/>
    <row r="3972" hidden="1" x14ac:dyDescent="0.3"/>
    <row r="3973" hidden="1" x14ac:dyDescent="0.3"/>
    <row r="3974" hidden="1" x14ac:dyDescent="0.3"/>
    <row r="3975" hidden="1" x14ac:dyDescent="0.3"/>
    <row r="3976" hidden="1" x14ac:dyDescent="0.3"/>
    <row r="3977" hidden="1" x14ac:dyDescent="0.3"/>
    <row r="3978" hidden="1" x14ac:dyDescent="0.3"/>
    <row r="3979" hidden="1" x14ac:dyDescent="0.3"/>
    <row r="3980" hidden="1" x14ac:dyDescent="0.3"/>
    <row r="3981" hidden="1" x14ac:dyDescent="0.3"/>
    <row r="3982" hidden="1" x14ac:dyDescent="0.3"/>
    <row r="3983" hidden="1" x14ac:dyDescent="0.3"/>
    <row r="3984" hidden="1" x14ac:dyDescent="0.3"/>
    <row r="3985" hidden="1" x14ac:dyDescent="0.3"/>
    <row r="3986" hidden="1" x14ac:dyDescent="0.3"/>
    <row r="3987" hidden="1" x14ac:dyDescent="0.3"/>
    <row r="3988" hidden="1" x14ac:dyDescent="0.3"/>
    <row r="3989" hidden="1" x14ac:dyDescent="0.3"/>
    <row r="3990" hidden="1" x14ac:dyDescent="0.3"/>
    <row r="3991" hidden="1" x14ac:dyDescent="0.3"/>
    <row r="3992" hidden="1" x14ac:dyDescent="0.3"/>
    <row r="3993" hidden="1" x14ac:dyDescent="0.3"/>
    <row r="3994" hidden="1" x14ac:dyDescent="0.3"/>
    <row r="3995" hidden="1" x14ac:dyDescent="0.3"/>
    <row r="3996" hidden="1" x14ac:dyDescent="0.3"/>
    <row r="3997" hidden="1" x14ac:dyDescent="0.3"/>
    <row r="3998" hidden="1" x14ac:dyDescent="0.3"/>
    <row r="3999" hidden="1" x14ac:dyDescent="0.3"/>
    <row r="4000" hidden="1" x14ac:dyDescent="0.3"/>
    <row r="4001" hidden="1" x14ac:dyDescent="0.3"/>
    <row r="4002" hidden="1" x14ac:dyDescent="0.3"/>
    <row r="4003" hidden="1" x14ac:dyDescent="0.3"/>
    <row r="4004" hidden="1" x14ac:dyDescent="0.3"/>
    <row r="4005" hidden="1" x14ac:dyDescent="0.3"/>
    <row r="4006" hidden="1" x14ac:dyDescent="0.3"/>
    <row r="4007" hidden="1" x14ac:dyDescent="0.3"/>
    <row r="4008" hidden="1" x14ac:dyDescent="0.3"/>
    <row r="4009" hidden="1" x14ac:dyDescent="0.3"/>
    <row r="4010" hidden="1" x14ac:dyDescent="0.3"/>
    <row r="4011" hidden="1" x14ac:dyDescent="0.3"/>
    <row r="4012" hidden="1" x14ac:dyDescent="0.3"/>
    <row r="4013" hidden="1" x14ac:dyDescent="0.3"/>
    <row r="4014" hidden="1" x14ac:dyDescent="0.3"/>
    <row r="4015" hidden="1" x14ac:dyDescent="0.3"/>
    <row r="4016" hidden="1" x14ac:dyDescent="0.3"/>
    <row r="4017" hidden="1" x14ac:dyDescent="0.3"/>
    <row r="4018" hidden="1" x14ac:dyDescent="0.3"/>
    <row r="4019" hidden="1" x14ac:dyDescent="0.3"/>
    <row r="4020" hidden="1" x14ac:dyDescent="0.3"/>
    <row r="4021" hidden="1" x14ac:dyDescent="0.3"/>
    <row r="4022" hidden="1" x14ac:dyDescent="0.3"/>
    <row r="4023" hidden="1" x14ac:dyDescent="0.3"/>
    <row r="4024" hidden="1" x14ac:dyDescent="0.3"/>
    <row r="4025" hidden="1" x14ac:dyDescent="0.3"/>
    <row r="4026" hidden="1" x14ac:dyDescent="0.3"/>
    <row r="4027" hidden="1" x14ac:dyDescent="0.3"/>
    <row r="4028" hidden="1" x14ac:dyDescent="0.3"/>
    <row r="4029" hidden="1" x14ac:dyDescent="0.3"/>
    <row r="4030" hidden="1" x14ac:dyDescent="0.3"/>
    <row r="4031" hidden="1" x14ac:dyDescent="0.3"/>
    <row r="4032" hidden="1" x14ac:dyDescent="0.3"/>
    <row r="4033" hidden="1" x14ac:dyDescent="0.3"/>
    <row r="4034" hidden="1" x14ac:dyDescent="0.3"/>
    <row r="4035" hidden="1" x14ac:dyDescent="0.3"/>
    <row r="4036" hidden="1" x14ac:dyDescent="0.3"/>
    <row r="4037" hidden="1" x14ac:dyDescent="0.3"/>
    <row r="4038" hidden="1" x14ac:dyDescent="0.3"/>
    <row r="4039" hidden="1" x14ac:dyDescent="0.3"/>
    <row r="4040" hidden="1" x14ac:dyDescent="0.3"/>
    <row r="4041" hidden="1" x14ac:dyDescent="0.3"/>
    <row r="4042" hidden="1" x14ac:dyDescent="0.3"/>
    <row r="4043" hidden="1" x14ac:dyDescent="0.3"/>
    <row r="4044" hidden="1" x14ac:dyDescent="0.3"/>
    <row r="4045" hidden="1" x14ac:dyDescent="0.3"/>
    <row r="4046" hidden="1" x14ac:dyDescent="0.3"/>
    <row r="4047" hidden="1" x14ac:dyDescent="0.3"/>
    <row r="4048" hidden="1" x14ac:dyDescent="0.3"/>
    <row r="4049" hidden="1" x14ac:dyDescent="0.3"/>
    <row r="4050" hidden="1" x14ac:dyDescent="0.3"/>
    <row r="4051" hidden="1" x14ac:dyDescent="0.3"/>
    <row r="4052" hidden="1" x14ac:dyDescent="0.3"/>
    <row r="4053" hidden="1" x14ac:dyDescent="0.3"/>
    <row r="4054" hidden="1" x14ac:dyDescent="0.3"/>
    <row r="4055" hidden="1" x14ac:dyDescent="0.3"/>
    <row r="4056" hidden="1" x14ac:dyDescent="0.3"/>
    <row r="4057" hidden="1" x14ac:dyDescent="0.3"/>
    <row r="4058" hidden="1" x14ac:dyDescent="0.3"/>
    <row r="4059" hidden="1" x14ac:dyDescent="0.3"/>
    <row r="4060" hidden="1" x14ac:dyDescent="0.3"/>
    <row r="4061" hidden="1" x14ac:dyDescent="0.3"/>
    <row r="4062" hidden="1" x14ac:dyDescent="0.3"/>
    <row r="4063" hidden="1" x14ac:dyDescent="0.3"/>
    <row r="4064" hidden="1" x14ac:dyDescent="0.3"/>
    <row r="4065" hidden="1" x14ac:dyDescent="0.3"/>
    <row r="4066" hidden="1" x14ac:dyDescent="0.3"/>
    <row r="4067" hidden="1" x14ac:dyDescent="0.3"/>
    <row r="4068" hidden="1" x14ac:dyDescent="0.3"/>
    <row r="4069" hidden="1" x14ac:dyDescent="0.3"/>
    <row r="4070" hidden="1" x14ac:dyDescent="0.3"/>
    <row r="4071" hidden="1" x14ac:dyDescent="0.3"/>
    <row r="4072" hidden="1" x14ac:dyDescent="0.3"/>
    <row r="4073" hidden="1" x14ac:dyDescent="0.3"/>
    <row r="4074" hidden="1" x14ac:dyDescent="0.3"/>
    <row r="4075" hidden="1" x14ac:dyDescent="0.3"/>
    <row r="4076" hidden="1" x14ac:dyDescent="0.3"/>
    <row r="4077" hidden="1" x14ac:dyDescent="0.3"/>
    <row r="4078" hidden="1" x14ac:dyDescent="0.3"/>
    <row r="4079" hidden="1" x14ac:dyDescent="0.3"/>
    <row r="4080" hidden="1" x14ac:dyDescent="0.3"/>
    <row r="4081" hidden="1" x14ac:dyDescent="0.3"/>
    <row r="4082" hidden="1" x14ac:dyDescent="0.3"/>
    <row r="4083" hidden="1" x14ac:dyDescent="0.3"/>
    <row r="4084" hidden="1" x14ac:dyDescent="0.3"/>
    <row r="4085" hidden="1" x14ac:dyDescent="0.3"/>
    <row r="4086" hidden="1" x14ac:dyDescent="0.3"/>
    <row r="4087" hidden="1" x14ac:dyDescent="0.3"/>
    <row r="4088" hidden="1" x14ac:dyDescent="0.3"/>
    <row r="4089" hidden="1" x14ac:dyDescent="0.3"/>
    <row r="4090" hidden="1" x14ac:dyDescent="0.3"/>
    <row r="4091" hidden="1" x14ac:dyDescent="0.3"/>
    <row r="4092" hidden="1" x14ac:dyDescent="0.3"/>
    <row r="4093" hidden="1" x14ac:dyDescent="0.3"/>
    <row r="4094" hidden="1" x14ac:dyDescent="0.3"/>
    <row r="4095" hidden="1" x14ac:dyDescent="0.3"/>
    <row r="4096" hidden="1" x14ac:dyDescent="0.3"/>
    <row r="4097" hidden="1" x14ac:dyDescent="0.3"/>
    <row r="4098" hidden="1" x14ac:dyDescent="0.3"/>
    <row r="4099" hidden="1" x14ac:dyDescent="0.3"/>
    <row r="4100" hidden="1" x14ac:dyDescent="0.3"/>
    <row r="4101" hidden="1" x14ac:dyDescent="0.3"/>
    <row r="4102" hidden="1" x14ac:dyDescent="0.3"/>
    <row r="4103" hidden="1" x14ac:dyDescent="0.3"/>
    <row r="4104" hidden="1" x14ac:dyDescent="0.3"/>
    <row r="4105" hidden="1" x14ac:dyDescent="0.3"/>
    <row r="4106" hidden="1" x14ac:dyDescent="0.3"/>
    <row r="4107" hidden="1" x14ac:dyDescent="0.3"/>
    <row r="4108" hidden="1" x14ac:dyDescent="0.3"/>
    <row r="4109" hidden="1" x14ac:dyDescent="0.3"/>
    <row r="4110" hidden="1" x14ac:dyDescent="0.3"/>
    <row r="4111" hidden="1" x14ac:dyDescent="0.3"/>
    <row r="4112" hidden="1" x14ac:dyDescent="0.3"/>
    <row r="4113" hidden="1" x14ac:dyDescent="0.3"/>
    <row r="4114" hidden="1" x14ac:dyDescent="0.3"/>
    <row r="4115" hidden="1" x14ac:dyDescent="0.3"/>
    <row r="4116" hidden="1" x14ac:dyDescent="0.3"/>
    <row r="4117" hidden="1" x14ac:dyDescent="0.3"/>
    <row r="4118" hidden="1" x14ac:dyDescent="0.3"/>
    <row r="4119" hidden="1" x14ac:dyDescent="0.3"/>
    <row r="4120" hidden="1" x14ac:dyDescent="0.3"/>
    <row r="4121" hidden="1" x14ac:dyDescent="0.3"/>
    <row r="4122" hidden="1" x14ac:dyDescent="0.3"/>
    <row r="4123" hidden="1" x14ac:dyDescent="0.3"/>
    <row r="4124" hidden="1" x14ac:dyDescent="0.3"/>
    <row r="4125" hidden="1" x14ac:dyDescent="0.3"/>
    <row r="4126" hidden="1" x14ac:dyDescent="0.3"/>
    <row r="4127" hidden="1" x14ac:dyDescent="0.3"/>
    <row r="4128" hidden="1" x14ac:dyDescent="0.3"/>
    <row r="4129" hidden="1" x14ac:dyDescent="0.3"/>
    <row r="4130" hidden="1" x14ac:dyDescent="0.3"/>
    <row r="4131" hidden="1" x14ac:dyDescent="0.3"/>
    <row r="4132" hidden="1" x14ac:dyDescent="0.3"/>
    <row r="4133" hidden="1" x14ac:dyDescent="0.3"/>
    <row r="4134" hidden="1" x14ac:dyDescent="0.3"/>
    <row r="4135" hidden="1" x14ac:dyDescent="0.3"/>
    <row r="4136" hidden="1" x14ac:dyDescent="0.3"/>
    <row r="4137" hidden="1" x14ac:dyDescent="0.3"/>
    <row r="4138" hidden="1" x14ac:dyDescent="0.3"/>
    <row r="4139" hidden="1" x14ac:dyDescent="0.3"/>
    <row r="4140" hidden="1" x14ac:dyDescent="0.3"/>
    <row r="4141" hidden="1" x14ac:dyDescent="0.3"/>
    <row r="4142" hidden="1" x14ac:dyDescent="0.3"/>
    <row r="4143" hidden="1" x14ac:dyDescent="0.3"/>
    <row r="4144" hidden="1" x14ac:dyDescent="0.3"/>
    <row r="4145" hidden="1" x14ac:dyDescent="0.3"/>
    <row r="4146" hidden="1" x14ac:dyDescent="0.3"/>
    <row r="4147" hidden="1" x14ac:dyDescent="0.3"/>
    <row r="4148" hidden="1" x14ac:dyDescent="0.3"/>
    <row r="4149" hidden="1" x14ac:dyDescent="0.3"/>
    <row r="4150" hidden="1" x14ac:dyDescent="0.3"/>
    <row r="4151" hidden="1" x14ac:dyDescent="0.3"/>
    <row r="4152" hidden="1" x14ac:dyDescent="0.3"/>
    <row r="4153" hidden="1" x14ac:dyDescent="0.3"/>
    <row r="4154" hidden="1" x14ac:dyDescent="0.3"/>
    <row r="4155" hidden="1" x14ac:dyDescent="0.3"/>
    <row r="4156" hidden="1" x14ac:dyDescent="0.3"/>
    <row r="4157" hidden="1" x14ac:dyDescent="0.3"/>
    <row r="4158" hidden="1" x14ac:dyDescent="0.3"/>
    <row r="4159" hidden="1" x14ac:dyDescent="0.3"/>
    <row r="4160" hidden="1" x14ac:dyDescent="0.3"/>
    <row r="4161" hidden="1" x14ac:dyDescent="0.3"/>
    <row r="4162" hidden="1" x14ac:dyDescent="0.3"/>
    <row r="4163" hidden="1" x14ac:dyDescent="0.3"/>
    <row r="4164" hidden="1" x14ac:dyDescent="0.3"/>
    <row r="4165" hidden="1" x14ac:dyDescent="0.3"/>
    <row r="4166" hidden="1" x14ac:dyDescent="0.3"/>
    <row r="4167" hidden="1" x14ac:dyDescent="0.3"/>
    <row r="4168" hidden="1" x14ac:dyDescent="0.3"/>
    <row r="4169" hidden="1" x14ac:dyDescent="0.3"/>
    <row r="4170" hidden="1" x14ac:dyDescent="0.3"/>
    <row r="4171" hidden="1" x14ac:dyDescent="0.3"/>
    <row r="4172" hidden="1" x14ac:dyDescent="0.3"/>
    <row r="4173" hidden="1" x14ac:dyDescent="0.3"/>
    <row r="4174" hidden="1" x14ac:dyDescent="0.3"/>
    <row r="4175" hidden="1" x14ac:dyDescent="0.3"/>
    <row r="4176" hidden="1" x14ac:dyDescent="0.3"/>
    <row r="4177" hidden="1" x14ac:dyDescent="0.3"/>
    <row r="4178" hidden="1" x14ac:dyDescent="0.3"/>
    <row r="4179" hidden="1" x14ac:dyDescent="0.3"/>
    <row r="4180" hidden="1" x14ac:dyDescent="0.3"/>
    <row r="4181" hidden="1" x14ac:dyDescent="0.3"/>
    <row r="4182" hidden="1" x14ac:dyDescent="0.3"/>
    <row r="4183" hidden="1" x14ac:dyDescent="0.3"/>
    <row r="4184" hidden="1" x14ac:dyDescent="0.3"/>
    <row r="4185" hidden="1" x14ac:dyDescent="0.3"/>
    <row r="4186" hidden="1" x14ac:dyDescent="0.3"/>
    <row r="4187" hidden="1" x14ac:dyDescent="0.3"/>
    <row r="4188" hidden="1" x14ac:dyDescent="0.3"/>
    <row r="4189" hidden="1" x14ac:dyDescent="0.3"/>
    <row r="4190" hidden="1" x14ac:dyDescent="0.3"/>
    <row r="4191" hidden="1" x14ac:dyDescent="0.3"/>
    <row r="4192" hidden="1" x14ac:dyDescent="0.3"/>
    <row r="4193" hidden="1" x14ac:dyDescent="0.3"/>
    <row r="4194" hidden="1" x14ac:dyDescent="0.3"/>
    <row r="4195" hidden="1" x14ac:dyDescent="0.3"/>
    <row r="4196" hidden="1" x14ac:dyDescent="0.3"/>
    <row r="4197" hidden="1" x14ac:dyDescent="0.3"/>
    <row r="4198" hidden="1" x14ac:dyDescent="0.3"/>
    <row r="4199" hidden="1" x14ac:dyDescent="0.3"/>
    <row r="4200" hidden="1" x14ac:dyDescent="0.3"/>
    <row r="4201" hidden="1" x14ac:dyDescent="0.3"/>
    <row r="4202" hidden="1" x14ac:dyDescent="0.3"/>
    <row r="4203" hidden="1" x14ac:dyDescent="0.3"/>
    <row r="4204" hidden="1" x14ac:dyDescent="0.3"/>
    <row r="4205" hidden="1" x14ac:dyDescent="0.3"/>
    <row r="4206" hidden="1" x14ac:dyDescent="0.3"/>
    <row r="4207" hidden="1" x14ac:dyDescent="0.3"/>
    <row r="4208" hidden="1" x14ac:dyDescent="0.3"/>
    <row r="4209" hidden="1" x14ac:dyDescent="0.3"/>
    <row r="4210" hidden="1" x14ac:dyDescent="0.3"/>
    <row r="4211" hidden="1" x14ac:dyDescent="0.3"/>
    <row r="4212" hidden="1" x14ac:dyDescent="0.3"/>
    <row r="4213" hidden="1" x14ac:dyDescent="0.3"/>
    <row r="4214" hidden="1" x14ac:dyDescent="0.3"/>
    <row r="4215" hidden="1" x14ac:dyDescent="0.3"/>
    <row r="4216" hidden="1" x14ac:dyDescent="0.3"/>
    <row r="4217" hidden="1" x14ac:dyDescent="0.3"/>
    <row r="4218" hidden="1" x14ac:dyDescent="0.3"/>
    <row r="4219" hidden="1" x14ac:dyDescent="0.3"/>
    <row r="4220" hidden="1" x14ac:dyDescent="0.3"/>
    <row r="4221" hidden="1" x14ac:dyDescent="0.3"/>
    <row r="4222" hidden="1" x14ac:dyDescent="0.3"/>
    <row r="4223" hidden="1" x14ac:dyDescent="0.3"/>
    <row r="4224" hidden="1" x14ac:dyDescent="0.3"/>
    <row r="4225" hidden="1" x14ac:dyDescent="0.3"/>
    <row r="4226" hidden="1" x14ac:dyDescent="0.3"/>
    <row r="4227" hidden="1" x14ac:dyDescent="0.3"/>
    <row r="4228" hidden="1" x14ac:dyDescent="0.3"/>
    <row r="4229" hidden="1" x14ac:dyDescent="0.3"/>
    <row r="4230" hidden="1" x14ac:dyDescent="0.3"/>
    <row r="4231" hidden="1" x14ac:dyDescent="0.3"/>
    <row r="4232" hidden="1" x14ac:dyDescent="0.3"/>
    <row r="4233" hidden="1" x14ac:dyDescent="0.3"/>
    <row r="4234" hidden="1" x14ac:dyDescent="0.3"/>
    <row r="4235" hidden="1" x14ac:dyDescent="0.3"/>
    <row r="4236" hidden="1" x14ac:dyDescent="0.3"/>
    <row r="4237" hidden="1" x14ac:dyDescent="0.3"/>
    <row r="4238" hidden="1" x14ac:dyDescent="0.3"/>
    <row r="4239" hidden="1" x14ac:dyDescent="0.3"/>
    <row r="4240" hidden="1" x14ac:dyDescent="0.3"/>
    <row r="4241" hidden="1" x14ac:dyDescent="0.3"/>
    <row r="4242" hidden="1" x14ac:dyDescent="0.3"/>
    <row r="4243" hidden="1" x14ac:dyDescent="0.3"/>
    <row r="4244" hidden="1" x14ac:dyDescent="0.3"/>
    <row r="4245" hidden="1" x14ac:dyDescent="0.3"/>
    <row r="4246" hidden="1" x14ac:dyDescent="0.3"/>
    <row r="4247" hidden="1" x14ac:dyDescent="0.3"/>
    <row r="4248" hidden="1" x14ac:dyDescent="0.3"/>
    <row r="4249" hidden="1" x14ac:dyDescent="0.3"/>
    <row r="4250" hidden="1" x14ac:dyDescent="0.3"/>
    <row r="4251" hidden="1" x14ac:dyDescent="0.3"/>
    <row r="4252" hidden="1" x14ac:dyDescent="0.3"/>
    <row r="4253" hidden="1" x14ac:dyDescent="0.3"/>
    <row r="4254" hidden="1" x14ac:dyDescent="0.3"/>
    <row r="4255" hidden="1" x14ac:dyDescent="0.3"/>
    <row r="4256" hidden="1" x14ac:dyDescent="0.3"/>
    <row r="4257" hidden="1" x14ac:dyDescent="0.3"/>
    <row r="4258" hidden="1" x14ac:dyDescent="0.3"/>
    <row r="4259" hidden="1" x14ac:dyDescent="0.3"/>
    <row r="4260" hidden="1" x14ac:dyDescent="0.3"/>
    <row r="4261" hidden="1" x14ac:dyDescent="0.3"/>
    <row r="4262" hidden="1" x14ac:dyDescent="0.3"/>
    <row r="4263" hidden="1" x14ac:dyDescent="0.3"/>
    <row r="4264" hidden="1" x14ac:dyDescent="0.3"/>
    <row r="4265" hidden="1" x14ac:dyDescent="0.3"/>
    <row r="4266" hidden="1" x14ac:dyDescent="0.3"/>
    <row r="4267" hidden="1" x14ac:dyDescent="0.3"/>
    <row r="4268" hidden="1" x14ac:dyDescent="0.3"/>
    <row r="4269" hidden="1" x14ac:dyDescent="0.3"/>
    <row r="4270" hidden="1" x14ac:dyDescent="0.3"/>
    <row r="4271" hidden="1" x14ac:dyDescent="0.3"/>
    <row r="4272" hidden="1" x14ac:dyDescent="0.3"/>
    <row r="4273" hidden="1" x14ac:dyDescent="0.3"/>
    <row r="4274" hidden="1" x14ac:dyDescent="0.3"/>
    <row r="4275" hidden="1" x14ac:dyDescent="0.3"/>
    <row r="4276" hidden="1" x14ac:dyDescent="0.3"/>
    <row r="4277" hidden="1" x14ac:dyDescent="0.3"/>
    <row r="4278" hidden="1" x14ac:dyDescent="0.3"/>
    <row r="4279" hidden="1" x14ac:dyDescent="0.3"/>
    <row r="4280" hidden="1" x14ac:dyDescent="0.3"/>
    <row r="4281" hidden="1" x14ac:dyDescent="0.3"/>
    <row r="4282" hidden="1" x14ac:dyDescent="0.3"/>
    <row r="4283" hidden="1" x14ac:dyDescent="0.3"/>
    <row r="4284" hidden="1" x14ac:dyDescent="0.3"/>
    <row r="4285" hidden="1" x14ac:dyDescent="0.3"/>
    <row r="4286" hidden="1" x14ac:dyDescent="0.3"/>
    <row r="4287" hidden="1" x14ac:dyDescent="0.3"/>
    <row r="4288" hidden="1" x14ac:dyDescent="0.3"/>
    <row r="4289" hidden="1" x14ac:dyDescent="0.3"/>
    <row r="4290" hidden="1" x14ac:dyDescent="0.3"/>
    <row r="4291" hidden="1" x14ac:dyDescent="0.3"/>
    <row r="4292" hidden="1" x14ac:dyDescent="0.3"/>
    <row r="4293" hidden="1" x14ac:dyDescent="0.3"/>
    <row r="4294" hidden="1" x14ac:dyDescent="0.3"/>
    <row r="4295" hidden="1" x14ac:dyDescent="0.3"/>
    <row r="4296" hidden="1" x14ac:dyDescent="0.3"/>
    <row r="4297" hidden="1" x14ac:dyDescent="0.3"/>
    <row r="4298" hidden="1" x14ac:dyDescent="0.3"/>
    <row r="4299" hidden="1" x14ac:dyDescent="0.3"/>
    <row r="4300" hidden="1" x14ac:dyDescent="0.3"/>
    <row r="4301" hidden="1" x14ac:dyDescent="0.3"/>
    <row r="4302" hidden="1" x14ac:dyDescent="0.3"/>
    <row r="4303" hidden="1" x14ac:dyDescent="0.3"/>
    <row r="4304" hidden="1" x14ac:dyDescent="0.3"/>
    <row r="4305" hidden="1" x14ac:dyDescent="0.3"/>
    <row r="4306" hidden="1" x14ac:dyDescent="0.3"/>
    <row r="4307" hidden="1" x14ac:dyDescent="0.3"/>
    <row r="4308" hidden="1" x14ac:dyDescent="0.3"/>
    <row r="4309" hidden="1" x14ac:dyDescent="0.3"/>
    <row r="4310" hidden="1" x14ac:dyDescent="0.3"/>
    <row r="4311" hidden="1" x14ac:dyDescent="0.3"/>
    <row r="4312" hidden="1" x14ac:dyDescent="0.3"/>
    <row r="4313" hidden="1" x14ac:dyDescent="0.3"/>
    <row r="4314" hidden="1" x14ac:dyDescent="0.3"/>
    <row r="4315" hidden="1" x14ac:dyDescent="0.3"/>
    <row r="4316" hidden="1" x14ac:dyDescent="0.3"/>
    <row r="4317" hidden="1" x14ac:dyDescent="0.3"/>
    <row r="4318" hidden="1" x14ac:dyDescent="0.3"/>
    <row r="4319" hidden="1" x14ac:dyDescent="0.3"/>
    <row r="4320" hidden="1" x14ac:dyDescent="0.3"/>
    <row r="4321" hidden="1" x14ac:dyDescent="0.3"/>
    <row r="4322" hidden="1" x14ac:dyDescent="0.3"/>
    <row r="4323" hidden="1" x14ac:dyDescent="0.3"/>
    <row r="4324" hidden="1" x14ac:dyDescent="0.3"/>
    <row r="4325" hidden="1" x14ac:dyDescent="0.3"/>
    <row r="4326" hidden="1" x14ac:dyDescent="0.3"/>
    <row r="4327" hidden="1" x14ac:dyDescent="0.3"/>
    <row r="4328" hidden="1" x14ac:dyDescent="0.3"/>
    <row r="4329" hidden="1" x14ac:dyDescent="0.3"/>
    <row r="4330" hidden="1" x14ac:dyDescent="0.3"/>
    <row r="4331" hidden="1" x14ac:dyDescent="0.3"/>
    <row r="4332" hidden="1" x14ac:dyDescent="0.3"/>
    <row r="4333" hidden="1" x14ac:dyDescent="0.3"/>
    <row r="4334" hidden="1" x14ac:dyDescent="0.3"/>
    <row r="4335" hidden="1" x14ac:dyDescent="0.3"/>
    <row r="4336" hidden="1" x14ac:dyDescent="0.3"/>
    <row r="4337" hidden="1" x14ac:dyDescent="0.3"/>
    <row r="4338" hidden="1" x14ac:dyDescent="0.3"/>
    <row r="4339" hidden="1" x14ac:dyDescent="0.3"/>
    <row r="4340" hidden="1" x14ac:dyDescent="0.3"/>
    <row r="4341" hidden="1" x14ac:dyDescent="0.3"/>
    <row r="4342" hidden="1" x14ac:dyDescent="0.3"/>
    <row r="4343" hidden="1" x14ac:dyDescent="0.3"/>
    <row r="4344" hidden="1" x14ac:dyDescent="0.3"/>
    <row r="4345" hidden="1" x14ac:dyDescent="0.3"/>
    <row r="4346" hidden="1" x14ac:dyDescent="0.3"/>
    <row r="4347" hidden="1" x14ac:dyDescent="0.3"/>
    <row r="4348" hidden="1" x14ac:dyDescent="0.3"/>
    <row r="4349" hidden="1" x14ac:dyDescent="0.3"/>
    <row r="4350" hidden="1" x14ac:dyDescent="0.3"/>
    <row r="4351" hidden="1" x14ac:dyDescent="0.3"/>
    <row r="4352" hidden="1" x14ac:dyDescent="0.3"/>
    <row r="4353" hidden="1" x14ac:dyDescent="0.3"/>
    <row r="4354" hidden="1" x14ac:dyDescent="0.3"/>
    <row r="4355" hidden="1" x14ac:dyDescent="0.3"/>
    <row r="4356" hidden="1" x14ac:dyDescent="0.3"/>
    <row r="4357" hidden="1" x14ac:dyDescent="0.3"/>
    <row r="4358" hidden="1" x14ac:dyDescent="0.3"/>
    <row r="4359" hidden="1" x14ac:dyDescent="0.3"/>
    <row r="4360" hidden="1" x14ac:dyDescent="0.3"/>
    <row r="4361" hidden="1" x14ac:dyDescent="0.3"/>
    <row r="4362" hidden="1" x14ac:dyDescent="0.3"/>
    <row r="4363" hidden="1" x14ac:dyDescent="0.3"/>
    <row r="4364" hidden="1" x14ac:dyDescent="0.3"/>
    <row r="4365" hidden="1" x14ac:dyDescent="0.3"/>
    <row r="4366" hidden="1" x14ac:dyDescent="0.3"/>
    <row r="4367" hidden="1" x14ac:dyDescent="0.3"/>
    <row r="4368" hidden="1" x14ac:dyDescent="0.3"/>
    <row r="4369" hidden="1" x14ac:dyDescent="0.3"/>
    <row r="4370" hidden="1" x14ac:dyDescent="0.3"/>
    <row r="4371" hidden="1" x14ac:dyDescent="0.3"/>
    <row r="4372" hidden="1" x14ac:dyDescent="0.3"/>
    <row r="4373" hidden="1" x14ac:dyDescent="0.3"/>
    <row r="4374" hidden="1" x14ac:dyDescent="0.3"/>
    <row r="4375" hidden="1" x14ac:dyDescent="0.3"/>
    <row r="4376" hidden="1" x14ac:dyDescent="0.3"/>
    <row r="4377" hidden="1" x14ac:dyDescent="0.3"/>
    <row r="4378" hidden="1" x14ac:dyDescent="0.3"/>
    <row r="4379" hidden="1" x14ac:dyDescent="0.3"/>
    <row r="4380" hidden="1" x14ac:dyDescent="0.3"/>
    <row r="4381" hidden="1" x14ac:dyDescent="0.3"/>
    <row r="4382" hidden="1" x14ac:dyDescent="0.3"/>
    <row r="4383" hidden="1" x14ac:dyDescent="0.3"/>
    <row r="4384" hidden="1" x14ac:dyDescent="0.3"/>
    <row r="4385" hidden="1" x14ac:dyDescent="0.3"/>
    <row r="4386" hidden="1" x14ac:dyDescent="0.3"/>
    <row r="4387" hidden="1" x14ac:dyDescent="0.3"/>
    <row r="4388" hidden="1" x14ac:dyDescent="0.3"/>
    <row r="4389" hidden="1" x14ac:dyDescent="0.3"/>
    <row r="4390" hidden="1" x14ac:dyDescent="0.3"/>
    <row r="4391" hidden="1" x14ac:dyDescent="0.3"/>
    <row r="4392" hidden="1" x14ac:dyDescent="0.3"/>
    <row r="4393" hidden="1" x14ac:dyDescent="0.3"/>
    <row r="4394" hidden="1" x14ac:dyDescent="0.3"/>
    <row r="4395" hidden="1" x14ac:dyDescent="0.3"/>
    <row r="4396" hidden="1" x14ac:dyDescent="0.3"/>
    <row r="4397" hidden="1" x14ac:dyDescent="0.3"/>
    <row r="4398" hidden="1" x14ac:dyDescent="0.3"/>
    <row r="4399" hidden="1" x14ac:dyDescent="0.3"/>
    <row r="4400" hidden="1" x14ac:dyDescent="0.3"/>
    <row r="4401" hidden="1" x14ac:dyDescent="0.3"/>
    <row r="4402" hidden="1" x14ac:dyDescent="0.3"/>
    <row r="4403" hidden="1" x14ac:dyDescent="0.3"/>
    <row r="4404" hidden="1" x14ac:dyDescent="0.3"/>
    <row r="4405" hidden="1" x14ac:dyDescent="0.3"/>
    <row r="4406" hidden="1" x14ac:dyDescent="0.3"/>
    <row r="4407" hidden="1" x14ac:dyDescent="0.3"/>
    <row r="4408" hidden="1" x14ac:dyDescent="0.3"/>
    <row r="4409" hidden="1" x14ac:dyDescent="0.3"/>
    <row r="4410" hidden="1" x14ac:dyDescent="0.3"/>
    <row r="4411" hidden="1" x14ac:dyDescent="0.3"/>
    <row r="4412" hidden="1" x14ac:dyDescent="0.3"/>
    <row r="4413" hidden="1" x14ac:dyDescent="0.3"/>
    <row r="4414" hidden="1" x14ac:dyDescent="0.3"/>
    <row r="4415" hidden="1" x14ac:dyDescent="0.3"/>
    <row r="4416" hidden="1" x14ac:dyDescent="0.3"/>
    <row r="4417" hidden="1" x14ac:dyDescent="0.3"/>
    <row r="4418" hidden="1" x14ac:dyDescent="0.3"/>
    <row r="4419" hidden="1" x14ac:dyDescent="0.3"/>
    <row r="4420" hidden="1" x14ac:dyDescent="0.3"/>
    <row r="4421" hidden="1" x14ac:dyDescent="0.3"/>
    <row r="4422" hidden="1" x14ac:dyDescent="0.3"/>
    <row r="4423" hidden="1" x14ac:dyDescent="0.3"/>
    <row r="4424" hidden="1" x14ac:dyDescent="0.3"/>
    <row r="4425" hidden="1" x14ac:dyDescent="0.3"/>
    <row r="4426" hidden="1" x14ac:dyDescent="0.3"/>
    <row r="4427" hidden="1" x14ac:dyDescent="0.3"/>
    <row r="4428" hidden="1" x14ac:dyDescent="0.3"/>
    <row r="4429" hidden="1" x14ac:dyDescent="0.3"/>
    <row r="4430" hidden="1" x14ac:dyDescent="0.3"/>
    <row r="4431" hidden="1" x14ac:dyDescent="0.3"/>
    <row r="4432" hidden="1" x14ac:dyDescent="0.3"/>
    <row r="4433" hidden="1" x14ac:dyDescent="0.3"/>
    <row r="4434" hidden="1" x14ac:dyDescent="0.3"/>
    <row r="4435" hidden="1" x14ac:dyDescent="0.3"/>
    <row r="4436" hidden="1" x14ac:dyDescent="0.3"/>
    <row r="4437" hidden="1" x14ac:dyDescent="0.3"/>
    <row r="4438" hidden="1" x14ac:dyDescent="0.3"/>
    <row r="4439" hidden="1" x14ac:dyDescent="0.3"/>
    <row r="4440" hidden="1" x14ac:dyDescent="0.3"/>
    <row r="4441" hidden="1" x14ac:dyDescent="0.3"/>
    <row r="4442" hidden="1" x14ac:dyDescent="0.3"/>
    <row r="4443" hidden="1" x14ac:dyDescent="0.3"/>
    <row r="4444" hidden="1" x14ac:dyDescent="0.3"/>
    <row r="4445" hidden="1" x14ac:dyDescent="0.3"/>
    <row r="4446" hidden="1" x14ac:dyDescent="0.3"/>
    <row r="4447" hidden="1" x14ac:dyDescent="0.3"/>
    <row r="4448" hidden="1" x14ac:dyDescent="0.3"/>
    <row r="4449" hidden="1" x14ac:dyDescent="0.3"/>
    <row r="4450" hidden="1" x14ac:dyDescent="0.3"/>
    <row r="4451" hidden="1" x14ac:dyDescent="0.3"/>
    <row r="4452" hidden="1" x14ac:dyDescent="0.3"/>
    <row r="4453" hidden="1" x14ac:dyDescent="0.3"/>
    <row r="4454" hidden="1" x14ac:dyDescent="0.3"/>
    <row r="4455" hidden="1" x14ac:dyDescent="0.3"/>
    <row r="4456" hidden="1" x14ac:dyDescent="0.3"/>
    <row r="4457" hidden="1" x14ac:dyDescent="0.3"/>
    <row r="4458" hidden="1" x14ac:dyDescent="0.3"/>
    <row r="4459" hidden="1" x14ac:dyDescent="0.3"/>
    <row r="4460" hidden="1" x14ac:dyDescent="0.3"/>
    <row r="4461" hidden="1" x14ac:dyDescent="0.3"/>
    <row r="4462" hidden="1" x14ac:dyDescent="0.3"/>
    <row r="4463" hidden="1" x14ac:dyDescent="0.3"/>
    <row r="4464" hidden="1" x14ac:dyDescent="0.3"/>
    <row r="4465" hidden="1" x14ac:dyDescent="0.3"/>
    <row r="4466" hidden="1" x14ac:dyDescent="0.3"/>
    <row r="4467" hidden="1" x14ac:dyDescent="0.3"/>
    <row r="4468" hidden="1" x14ac:dyDescent="0.3"/>
    <row r="4469" hidden="1" x14ac:dyDescent="0.3"/>
    <row r="4470" hidden="1" x14ac:dyDescent="0.3"/>
    <row r="4471" hidden="1" x14ac:dyDescent="0.3"/>
    <row r="4472" hidden="1" x14ac:dyDescent="0.3"/>
    <row r="4473" hidden="1" x14ac:dyDescent="0.3"/>
    <row r="4474" hidden="1" x14ac:dyDescent="0.3"/>
    <row r="4475" hidden="1" x14ac:dyDescent="0.3"/>
    <row r="4476" hidden="1" x14ac:dyDescent="0.3"/>
    <row r="4477" hidden="1" x14ac:dyDescent="0.3"/>
    <row r="4478" hidden="1" x14ac:dyDescent="0.3"/>
    <row r="4479" hidden="1" x14ac:dyDescent="0.3"/>
    <row r="4480" hidden="1" x14ac:dyDescent="0.3"/>
    <row r="4481" hidden="1" x14ac:dyDescent="0.3"/>
    <row r="4482" hidden="1" x14ac:dyDescent="0.3"/>
    <row r="4483" hidden="1" x14ac:dyDescent="0.3"/>
    <row r="4484" hidden="1" x14ac:dyDescent="0.3"/>
    <row r="4485" hidden="1" x14ac:dyDescent="0.3"/>
    <row r="4486" hidden="1" x14ac:dyDescent="0.3"/>
    <row r="4487" hidden="1" x14ac:dyDescent="0.3"/>
    <row r="4488" hidden="1" x14ac:dyDescent="0.3"/>
    <row r="4489" hidden="1" x14ac:dyDescent="0.3"/>
    <row r="4490" hidden="1" x14ac:dyDescent="0.3"/>
    <row r="4491" hidden="1" x14ac:dyDescent="0.3"/>
    <row r="4492" hidden="1" x14ac:dyDescent="0.3"/>
    <row r="4493" hidden="1" x14ac:dyDescent="0.3"/>
    <row r="4494" hidden="1" x14ac:dyDescent="0.3"/>
    <row r="4495" hidden="1" x14ac:dyDescent="0.3"/>
    <row r="4496" hidden="1" x14ac:dyDescent="0.3"/>
    <row r="4497" hidden="1" x14ac:dyDescent="0.3"/>
    <row r="4498" hidden="1" x14ac:dyDescent="0.3"/>
    <row r="4499" hidden="1" x14ac:dyDescent="0.3"/>
    <row r="4500" hidden="1" x14ac:dyDescent="0.3"/>
    <row r="4501" hidden="1" x14ac:dyDescent="0.3"/>
    <row r="4502" hidden="1" x14ac:dyDescent="0.3"/>
    <row r="4503" hidden="1" x14ac:dyDescent="0.3"/>
    <row r="4504" hidden="1" x14ac:dyDescent="0.3"/>
    <row r="4505" hidden="1" x14ac:dyDescent="0.3"/>
    <row r="4506" hidden="1" x14ac:dyDescent="0.3"/>
    <row r="4507" hidden="1" x14ac:dyDescent="0.3"/>
    <row r="4508" hidden="1" x14ac:dyDescent="0.3"/>
    <row r="4509" hidden="1" x14ac:dyDescent="0.3"/>
    <row r="4510" hidden="1" x14ac:dyDescent="0.3"/>
    <row r="4511" hidden="1" x14ac:dyDescent="0.3"/>
    <row r="4512" hidden="1" x14ac:dyDescent="0.3"/>
    <row r="4513" hidden="1" x14ac:dyDescent="0.3"/>
    <row r="4514" hidden="1" x14ac:dyDescent="0.3"/>
    <row r="4515" hidden="1" x14ac:dyDescent="0.3"/>
    <row r="4516" hidden="1" x14ac:dyDescent="0.3"/>
    <row r="4517" hidden="1" x14ac:dyDescent="0.3"/>
    <row r="4518" hidden="1" x14ac:dyDescent="0.3"/>
    <row r="4519" hidden="1" x14ac:dyDescent="0.3"/>
    <row r="4520" hidden="1" x14ac:dyDescent="0.3"/>
    <row r="4521" hidden="1" x14ac:dyDescent="0.3"/>
    <row r="4522" hidden="1" x14ac:dyDescent="0.3"/>
    <row r="4523" hidden="1" x14ac:dyDescent="0.3"/>
    <row r="4524" hidden="1" x14ac:dyDescent="0.3"/>
    <row r="4525" hidden="1" x14ac:dyDescent="0.3"/>
    <row r="4526" hidden="1" x14ac:dyDescent="0.3"/>
    <row r="4527" hidden="1" x14ac:dyDescent="0.3"/>
    <row r="4528" hidden="1" x14ac:dyDescent="0.3"/>
    <row r="4529" hidden="1" x14ac:dyDescent="0.3"/>
    <row r="4530" hidden="1" x14ac:dyDescent="0.3"/>
    <row r="4531" hidden="1" x14ac:dyDescent="0.3"/>
    <row r="4532" hidden="1" x14ac:dyDescent="0.3"/>
    <row r="4533" hidden="1" x14ac:dyDescent="0.3"/>
    <row r="4534" hidden="1" x14ac:dyDescent="0.3"/>
    <row r="4535" hidden="1" x14ac:dyDescent="0.3"/>
    <row r="4536" hidden="1" x14ac:dyDescent="0.3"/>
    <row r="4537" hidden="1" x14ac:dyDescent="0.3"/>
    <row r="4538" hidden="1" x14ac:dyDescent="0.3"/>
    <row r="4539" hidden="1" x14ac:dyDescent="0.3"/>
    <row r="4540" hidden="1" x14ac:dyDescent="0.3"/>
    <row r="4541" hidden="1" x14ac:dyDescent="0.3"/>
    <row r="4542" hidden="1" x14ac:dyDescent="0.3"/>
    <row r="4543" hidden="1" x14ac:dyDescent="0.3"/>
    <row r="4544" hidden="1" x14ac:dyDescent="0.3"/>
    <row r="4545" hidden="1" x14ac:dyDescent="0.3"/>
    <row r="4546" hidden="1" x14ac:dyDescent="0.3"/>
    <row r="4547" hidden="1" x14ac:dyDescent="0.3"/>
    <row r="4548" hidden="1" x14ac:dyDescent="0.3"/>
    <row r="4549" hidden="1" x14ac:dyDescent="0.3"/>
    <row r="4550" hidden="1" x14ac:dyDescent="0.3"/>
    <row r="4551" hidden="1" x14ac:dyDescent="0.3"/>
    <row r="4552" hidden="1" x14ac:dyDescent="0.3"/>
    <row r="4553" hidden="1" x14ac:dyDescent="0.3"/>
    <row r="4554" hidden="1" x14ac:dyDescent="0.3"/>
    <row r="4555" hidden="1" x14ac:dyDescent="0.3"/>
    <row r="4556" hidden="1" x14ac:dyDescent="0.3"/>
    <row r="4557" hidden="1" x14ac:dyDescent="0.3"/>
    <row r="4558" hidden="1" x14ac:dyDescent="0.3"/>
    <row r="4559" hidden="1" x14ac:dyDescent="0.3"/>
    <row r="4560" hidden="1" x14ac:dyDescent="0.3"/>
    <row r="4561" hidden="1" x14ac:dyDescent="0.3"/>
    <row r="4562" hidden="1" x14ac:dyDescent="0.3"/>
    <row r="4563" hidden="1" x14ac:dyDescent="0.3"/>
    <row r="4564" hidden="1" x14ac:dyDescent="0.3"/>
    <row r="4565" hidden="1" x14ac:dyDescent="0.3"/>
    <row r="4566" hidden="1" x14ac:dyDescent="0.3"/>
    <row r="4567" hidden="1" x14ac:dyDescent="0.3"/>
    <row r="4568" hidden="1" x14ac:dyDescent="0.3"/>
    <row r="4569" hidden="1" x14ac:dyDescent="0.3"/>
    <row r="4570" hidden="1" x14ac:dyDescent="0.3"/>
    <row r="4571" hidden="1" x14ac:dyDescent="0.3"/>
    <row r="4572" hidden="1" x14ac:dyDescent="0.3"/>
    <row r="4573" hidden="1" x14ac:dyDescent="0.3"/>
    <row r="4574" hidden="1" x14ac:dyDescent="0.3"/>
    <row r="4575" hidden="1" x14ac:dyDescent="0.3"/>
    <row r="4576" hidden="1" x14ac:dyDescent="0.3"/>
    <row r="4577" hidden="1" x14ac:dyDescent="0.3"/>
    <row r="4578" hidden="1" x14ac:dyDescent="0.3"/>
    <row r="4579" hidden="1" x14ac:dyDescent="0.3"/>
    <row r="4580" hidden="1" x14ac:dyDescent="0.3"/>
    <row r="4581" hidden="1" x14ac:dyDescent="0.3"/>
    <row r="4582" hidden="1" x14ac:dyDescent="0.3"/>
    <row r="4583" hidden="1" x14ac:dyDescent="0.3"/>
    <row r="4584" hidden="1" x14ac:dyDescent="0.3"/>
    <row r="4585" hidden="1" x14ac:dyDescent="0.3"/>
    <row r="4586" hidden="1" x14ac:dyDescent="0.3"/>
    <row r="4587" hidden="1" x14ac:dyDescent="0.3"/>
    <row r="4588" hidden="1" x14ac:dyDescent="0.3"/>
    <row r="4589" hidden="1" x14ac:dyDescent="0.3"/>
    <row r="4590" hidden="1" x14ac:dyDescent="0.3"/>
    <row r="4591" hidden="1" x14ac:dyDescent="0.3"/>
    <row r="4592" hidden="1" x14ac:dyDescent="0.3"/>
    <row r="4593" hidden="1" x14ac:dyDescent="0.3"/>
    <row r="4594" hidden="1" x14ac:dyDescent="0.3"/>
    <row r="4595" hidden="1" x14ac:dyDescent="0.3"/>
    <row r="4596" hidden="1" x14ac:dyDescent="0.3"/>
    <row r="4597" hidden="1" x14ac:dyDescent="0.3"/>
    <row r="4598" hidden="1" x14ac:dyDescent="0.3"/>
    <row r="4599" hidden="1" x14ac:dyDescent="0.3"/>
    <row r="4600" hidden="1" x14ac:dyDescent="0.3"/>
    <row r="4601" hidden="1" x14ac:dyDescent="0.3"/>
    <row r="4602" hidden="1" x14ac:dyDescent="0.3"/>
    <row r="4603" hidden="1" x14ac:dyDescent="0.3"/>
    <row r="4604" hidden="1" x14ac:dyDescent="0.3"/>
    <row r="4605" hidden="1" x14ac:dyDescent="0.3"/>
    <row r="4606" hidden="1" x14ac:dyDescent="0.3"/>
    <row r="4607" hidden="1" x14ac:dyDescent="0.3"/>
    <row r="4608" hidden="1" x14ac:dyDescent="0.3"/>
    <row r="4609" hidden="1" x14ac:dyDescent="0.3"/>
    <row r="4610" hidden="1" x14ac:dyDescent="0.3"/>
    <row r="4611" hidden="1" x14ac:dyDescent="0.3"/>
    <row r="4612" hidden="1" x14ac:dyDescent="0.3"/>
    <row r="4613" hidden="1" x14ac:dyDescent="0.3"/>
    <row r="4614" hidden="1" x14ac:dyDescent="0.3"/>
    <row r="4615" hidden="1" x14ac:dyDescent="0.3"/>
    <row r="4616" hidden="1" x14ac:dyDescent="0.3"/>
    <row r="4617" hidden="1" x14ac:dyDescent="0.3"/>
    <row r="4618" hidden="1" x14ac:dyDescent="0.3"/>
    <row r="4619" hidden="1" x14ac:dyDescent="0.3"/>
    <row r="4620" hidden="1" x14ac:dyDescent="0.3"/>
    <row r="4621" hidden="1" x14ac:dyDescent="0.3"/>
    <row r="4622" hidden="1" x14ac:dyDescent="0.3"/>
    <row r="4623" hidden="1" x14ac:dyDescent="0.3"/>
    <row r="4624" hidden="1" x14ac:dyDescent="0.3"/>
    <row r="4625" hidden="1" x14ac:dyDescent="0.3"/>
    <row r="4626" hidden="1" x14ac:dyDescent="0.3"/>
    <row r="4627" hidden="1" x14ac:dyDescent="0.3"/>
    <row r="4628" hidden="1" x14ac:dyDescent="0.3"/>
    <row r="4629" hidden="1" x14ac:dyDescent="0.3"/>
    <row r="4630" hidden="1" x14ac:dyDescent="0.3"/>
    <row r="4631" hidden="1" x14ac:dyDescent="0.3"/>
    <row r="4632" hidden="1" x14ac:dyDescent="0.3"/>
    <row r="4633" hidden="1" x14ac:dyDescent="0.3"/>
    <row r="4634" hidden="1" x14ac:dyDescent="0.3"/>
    <row r="4635" hidden="1" x14ac:dyDescent="0.3"/>
    <row r="4636" hidden="1" x14ac:dyDescent="0.3"/>
    <row r="4637" hidden="1" x14ac:dyDescent="0.3"/>
    <row r="4638" hidden="1" x14ac:dyDescent="0.3"/>
    <row r="4639" hidden="1" x14ac:dyDescent="0.3"/>
    <row r="4640" hidden="1" x14ac:dyDescent="0.3"/>
    <row r="4641" hidden="1" x14ac:dyDescent="0.3"/>
    <row r="4642" hidden="1" x14ac:dyDescent="0.3"/>
    <row r="4643" hidden="1" x14ac:dyDescent="0.3"/>
    <row r="4644" hidden="1" x14ac:dyDescent="0.3"/>
    <row r="4645" hidden="1" x14ac:dyDescent="0.3"/>
    <row r="4646" hidden="1" x14ac:dyDescent="0.3"/>
    <row r="4647" hidden="1" x14ac:dyDescent="0.3"/>
    <row r="4648" hidden="1" x14ac:dyDescent="0.3"/>
    <row r="4649" hidden="1" x14ac:dyDescent="0.3"/>
    <row r="4650" hidden="1" x14ac:dyDescent="0.3"/>
    <row r="4651" hidden="1" x14ac:dyDescent="0.3"/>
    <row r="4652" hidden="1" x14ac:dyDescent="0.3"/>
    <row r="4653" hidden="1" x14ac:dyDescent="0.3"/>
    <row r="4654" hidden="1" x14ac:dyDescent="0.3"/>
    <row r="4655" hidden="1" x14ac:dyDescent="0.3"/>
    <row r="4656" hidden="1" x14ac:dyDescent="0.3"/>
    <row r="4657" hidden="1" x14ac:dyDescent="0.3"/>
    <row r="4658" hidden="1" x14ac:dyDescent="0.3"/>
    <row r="4659" hidden="1" x14ac:dyDescent="0.3"/>
    <row r="4660" hidden="1" x14ac:dyDescent="0.3"/>
    <row r="4661" hidden="1" x14ac:dyDescent="0.3"/>
    <row r="4662" hidden="1" x14ac:dyDescent="0.3"/>
    <row r="4663" hidden="1" x14ac:dyDescent="0.3"/>
    <row r="4664" hidden="1" x14ac:dyDescent="0.3"/>
    <row r="4665" hidden="1" x14ac:dyDescent="0.3"/>
    <row r="4666" hidden="1" x14ac:dyDescent="0.3"/>
    <row r="4667" hidden="1" x14ac:dyDescent="0.3"/>
    <row r="4668" hidden="1" x14ac:dyDescent="0.3"/>
    <row r="4669" hidden="1" x14ac:dyDescent="0.3"/>
    <row r="4670" hidden="1" x14ac:dyDescent="0.3"/>
    <row r="4671" hidden="1" x14ac:dyDescent="0.3"/>
    <row r="4672" hidden="1" x14ac:dyDescent="0.3"/>
    <row r="4673" hidden="1" x14ac:dyDescent="0.3"/>
    <row r="4674" hidden="1" x14ac:dyDescent="0.3"/>
    <row r="4675" hidden="1" x14ac:dyDescent="0.3"/>
    <row r="4676" hidden="1" x14ac:dyDescent="0.3"/>
    <row r="4677" hidden="1" x14ac:dyDescent="0.3"/>
    <row r="4678" hidden="1" x14ac:dyDescent="0.3"/>
    <row r="4679" hidden="1" x14ac:dyDescent="0.3"/>
    <row r="4680" hidden="1" x14ac:dyDescent="0.3"/>
    <row r="4681" hidden="1" x14ac:dyDescent="0.3"/>
    <row r="4682" hidden="1" x14ac:dyDescent="0.3"/>
    <row r="4683" hidden="1" x14ac:dyDescent="0.3"/>
    <row r="4684" hidden="1" x14ac:dyDescent="0.3"/>
    <row r="4685" hidden="1" x14ac:dyDescent="0.3"/>
    <row r="4686" hidden="1" x14ac:dyDescent="0.3"/>
    <row r="4687" hidden="1" x14ac:dyDescent="0.3"/>
    <row r="4688" hidden="1" x14ac:dyDescent="0.3"/>
    <row r="4689" hidden="1" x14ac:dyDescent="0.3"/>
    <row r="4690" hidden="1" x14ac:dyDescent="0.3"/>
    <row r="4691" hidden="1" x14ac:dyDescent="0.3"/>
    <row r="4692" hidden="1" x14ac:dyDescent="0.3"/>
    <row r="4693" hidden="1" x14ac:dyDescent="0.3"/>
    <row r="4694" hidden="1" x14ac:dyDescent="0.3"/>
    <row r="4695" hidden="1" x14ac:dyDescent="0.3"/>
    <row r="4696" hidden="1" x14ac:dyDescent="0.3"/>
    <row r="4697" hidden="1" x14ac:dyDescent="0.3"/>
    <row r="4698" hidden="1" x14ac:dyDescent="0.3"/>
    <row r="4699" hidden="1" x14ac:dyDescent="0.3"/>
    <row r="4700" hidden="1" x14ac:dyDescent="0.3"/>
    <row r="4701" hidden="1" x14ac:dyDescent="0.3"/>
    <row r="4702" hidden="1" x14ac:dyDescent="0.3"/>
    <row r="4703" hidden="1" x14ac:dyDescent="0.3"/>
    <row r="4704" hidden="1" x14ac:dyDescent="0.3"/>
    <row r="4705" hidden="1" x14ac:dyDescent="0.3"/>
    <row r="4706" hidden="1" x14ac:dyDescent="0.3"/>
    <row r="4707" hidden="1" x14ac:dyDescent="0.3"/>
    <row r="4708" hidden="1" x14ac:dyDescent="0.3"/>
    <row r="4709" hidden="1" x14ac:dyDescent="0.3"/>
    <row r="4710" hidden="1" x14ac:dyDescent="0.3"/>
    <row r="4711" hidden="1" x14ac:dyDescent="0.3"/>
    <row r="4712" hidden="1" x14ac:dyDescent="0.3"/>
    <row r="4713" hidden="1" x14ac:dyDescent="0.3"/>
    <row r="4714" hidden="1" x14ac:dyDescent="0.3"/>
    <row r="4715" hidden="1" x14ac:dyDescent="0.3"/>
    <row r="4716" hidden="1" x14ac:dyDescent="0.3"/>
    <row r="4717" hidden="1" x14ac:dyDescent="0.3"/>
    <row r="4718" hidden="1" x14ac:dyDescent="0.3"/>
    <row r="4719" hidden="1" x14ac:dyDescent="0.3"/>
    <row r="4720" hidden="1" x14ac:dyDescent="0.3"/>
    <row r="4721" hidden="1" x14ac:dyDescent="0.3"/>
    <row r="4722" hidden="1" x14ac:dyDescent="0.3"/>
    <row r="4723" hidden="1" x14ac:dyDescent="0.3"/>
    <row r="4724" hidden="1" x14ac:dyDescent="0.3"/>
    <row r="4725" hidden="1" x14ac:dyDescent="0.3"/>
    <row r="4726" hidden="1" x14ac:dyDescent="0.3"/>
    <row r="4727" hidden="1" x14ac:dyDescent="0.3"/>
    <row r="4728" hidden="1" x14ac:dyDescent="0.3"/>
    <row r="4729" hidden="1" x14ac:dyDescent="0.3"/>
    <row r="4730" hidden="1" x14ac:dyDescent="0.3"/>
    <row r="4731" hidden="1" x14ac:dyDescent="0.3"/>
    <row r="4732" hidden="1" x14ac:dyDescent="0.3"/>
    <row r="4733" hidden="1" x14ac:dyDescent="0.3"/>
    <row r="4734" hidden="1" x14ac:dyDescent="0.3"/>
    <row r="4735" hidden="1" x14ac:dyDescent="0.3"/>
    <row r="4736" hidden="1" x14ac:dyDescent="0.3"/>
    <row r="4737" hidden="1" x14ac:dyDescent="0.3"/>
    <row r="4738" hidden="1" x14ac:dyDescent="0.3"/>
    <row r="4739" hidden="1" x14ac:dyDescent="0.3"/>
    <row r="4740" hidden="1" x14ac:dyDescent="0.3"/>
    <row r="4741" hidden="1" x14ac:dyDescent="0.3"/>
    <row r="4742" hidden="1" x14ac:dyDescent="0.3"/>
    <row r="4743" hidden="1" x14ac:dyDescent="0.3"/>
    <row r="4744" hidden="1" x14ac:dyDescent="0.3"/>
    <row r="4745" hidden="1" x14ac:dyDescent="0.3"/>
    <row r="4746" hidden="1" x14ac:dyDescent="0.3"/>
    <row r="4747" hidden="1" x14ac:dyDescent="0.3"/>
    <row r="4748" hidden="1" x14ac:dyDescent="0.3"/>
    <row r="4749" hidden="1" x14ac:dyDescent="0.3"/>
    <row r="4750" hidden="1" x14ac:dyDescent="0.3"/>
    <row r="4751" hidden="1" x14ac:dyDescent="0.3"/>
    <row r="4752" hidden="1" x14ac:dyDescent="0.3"/>
    <row r="4753" hidden="1" x14ac:dyDescent="0.3"/>
    <row r="4754" hidden="1" x14ac:dyDescent="0.3"/>
    <row r="4755" hidden="1" x14ac:dyDescent="0.3"/>
    <row r="4756" hidden="1" x14ac:dyDescent="0.3"/>
    <row r="4757" hidden="1" x14ac:dyDescent="0.3"/>
    <row r="4758" hidden="1" x14ac:dyDescent="0.3"/>
    <row r="4759" hidden="1" x14ac:dyDescent="0.3"/>
    <row r="4760" hidden="1" x14ac:dyDescent="0.3"/>
    <row r="4761" hidden="1" x14ac:dyDescent="0.3"/>
    <row r="4762" hidden="1" x14ac:dyDescent="0.3"/>
    <row r="4763" hidden="1" x14ac:dyDescent="0.3"/>
    <row r="4764" hidden="1" x14ac:dyDescent="0.3"/>
    <row r="4765" hidden="1" x14ac:dyDescent="0.3"/>
    <row r="4766" hidden="1" x14ac:dyDescent="0.3"/>
    <row r="4767" hidden="1" x14ac:dyDescent="0.3"/>
    <row r="4768" hidden="1" x14ac:dyDescent="0.3"/>
    <row r="4769" hidden="1" x14ac:dyDescent="0.3"/>
    <row r="4770" hidden="1" x14ac:dyDescent="0.3"/>
    <row r="4771" hidden="1" x14ac:dyDescent="0.3"/>
    <row r="4772" hidden="1" x14ac:dyDescent="0.3"/>
    <row r="4773" hidden="1" x14ac:dyDescent="0.3"/>
    <row r="4774" hidden="1" x14ac:dyDescent="0.3"/>
    <row r="4775" hidden="1" x14ac:dyDescent="0.3"/>
    <row r="4776" hidden="1" x14ac:dyDescent="0.3"/>
    <row r="4777" hidden="1" x14ac:dyDescent="0.3"/>
    <row r="4778" hidden="1" x14ac:dyDescent="0.3"/>
    <row r="4779" hidden="1" x14ac:dyDescent="0.3"/>
    <row r="4780" hidden="1" x14ac:dyDescent="0.3"/>
    <row r="4781" hidden="1" x14ac:dyDescent="0.3"/>
    <row r="4782" hidden="1" x14ac:dyDescent="0.3"/>
    <row r="4783" hidden="1" x14ac:dyDescent="0.3"/>
    <row r="4784" hidden="1" x14ac:dyDescent="0.3"/>
    <row r="4785" hidden="1" x14ac:dyDescent="0.3"/>
    <row r="4786" hidden="1" x14ac:dyDescent="0.3"/>
    <row r="4787" hidden="1" x14ac:dyDescent="0.3"/>
    <row r="4788" hidden="1" x14ac:dyDescent="0.3"/>
    <row r="4789" hidden="1" x14ac:dyDescent="0.3"/>
    <row r="4790" hidden="1" x14ac:dyDescent="0.3"/>
    <row r="4791" hidden="1" x14ac:dyDescent="0.3"/>
    <row r="4792" hidden="1" x14ac:dyDescent="0.3"/>
    <row r="4793" hidden="1" x14ac:dyDescent="0.3"/>
    <row r="4794" hidden="1" x14ac:dyDescent="0.3"/>
    <row r="4795" hidden="1" x14ac:dyDescent="0.3"/>
    <row r="4796" hidden="1" x14ac:dyDescent="0.3"/>
    <row r="4797" hidden="1" x14ac:dyDescent="0.3"/>
    <row r="4798" hidden="1" x14ac:dyDescent="0.3"/>
    <row r="4799" hidden="1" x14ac:dyDescent="0.3"/>
    <row r="4800" hidden="1" x14ac:dyDescent="0.3"/>
    <row r="4801" hidden="1" x14ac:dyDescent="0.3"/>
    <row r="4802" hidden="1" x14ac:dyDescent="0.3"/>
    <row r="4803" hidden="1" x14ac:dyDescent="0.3"/>
    <row r="4804" hidden="1" x14ac:dyDescent="0.3"/>
    <row r="4805" hidden="1" x14ac:dyDescent="0.3"/>
    <row r="4806" hidden="1" x14ac:dyDescent="0.3"/>
    <row r="4807" hidden="1" x14ac:dyDescent="0.3"/>
    <row r="4808" hidden="1" x14ac:dyDescent="0.3"/>
    <row r="4809" hidden="1" x14ac:dyDescent="0.3"/>
    <row r="4810" hidden="1" x14ac:dyDescent="0.3"/>
    <row r="4811" hidden="1" x14ac:dyDescent="0.3"/>
    <row r="4812" hidden="1" x14ac:dyDescent="0.3"/>
    <row r="4813" hidden="1" x14ac:dyDescent="0.3"/>
    <row r="4814" hidden="1" x14ac:dyDescent="0.3"/>
    <row r="4815" hidden="1" x14ac:dyDescent="0.3"/>
    <row r="4816" hidden="1" x14ac:dyDescent="0.3"/>
    <row r="4817" hidden="1" x14ac:dyDescent="0.3"/>
    <row r="4818" hidden="1" x14ac:dyDescent="0.3"/>
    <row r="4819" hidden="1" x14ac:dyDescent="0.3"/>
    <row r="4820" hidden="1" x14ac:dyDescent="0.3"/>
    <row r="4821" hidden="1" x14ac:dyDescent="0.3"/>
    <row r="4822" hidden="1" x14ac:dyDescent="0.3"/>
    <row r="4823" hidden="1" x14ac:dyDescent="0.3"/>
    <row r="4824" hidden="1" x14ac:dyDescent="0.3"/>
    <row r="4825" hidden="1" x14ac:dyDescent="0.3"/>
    <row r="4826" hidden="1" x14ac:dyDescent="0.3"/>
    <row r="4827" hidden="1" x14ac:dyDescent="0.3"/>
    <row r="4828" hidden="1" x14ac:dyDescent="0.3"/>
    <row r="4829" hidden="1" x14ac:dyDescent="0.3"/>
    <row r="4830" hidden="1" x14ac:dyDescent="0.3"/>
    <row r="4831" hidden="1" x14ac:dyDescent="0.3"/>
    <row r="4832" hidden="1" x14ac:dyDescent="0.3"/>
    <row r="4833" hidden="1" x14ac:dyDescent="0.3"/>
    <row r="4834" hidden="1" x14ac:dyDescent="0.3"/>
    <row r="4835" hidden="1" x14ac:dyDescent="0.3"/>
    <row r="4836" hidden="1" x14ac:dyDescent="0.3"/>
    <row r="4837" hidden="1" x14ac:dyDescent="0.3"/>
    <row r="4838" hidden="1" x14ac:dyDescent="0.3"/>
    <row r="4839" hidden="1" x14ac:dyDescent="0.3"/>
    <row r="4840" hidden="1" x14ac:dyDescent="0.3"/>
    <row r="4841" hidden="1" x14ac:dyDescent="0.3"/>
    <row r="4842" hidden="1" x14ac:dyDescent="0.3"/>
    <row r="4843" hidden="1" x14ac:dyDescent="0.3"/>
    <row r="4844" hidden="1" x14ac:dyDescent="0.3"/>
    <row r="4845" hidden="1" x14ac:dyDescent="0.3"/>
    <row r="4846" hidden="1" x14ac:dyDescent="0.3"/>
    <row r="4847" hidden="1" x14ac:dyDescent="0.3"/>
    <row r="4848" hidden="1" x14ac:dyDescent="0.3"/>
    <row r="4849" hidden="1" x14ac:dyDescent="0.3"/>
    <row r="4850" hidden="1" x14ac:dyDescent="0.3"/>
    <row r="4851" hidden="1" x14ac:dyDescent="0.3"/>
    <row r="4852" hidden="1" x14ac:dyDescent="0.3"/>
    <row r="4853" hidden="1" x14ac:dyDescent="0.3"/>
    <row r="4854" hidden="1" x14ac:dyDescent="0.3"/>
    <row r="4855" hidden="1" x14ac:dyDescent="0.3"/>
    <row r="4856" hidden="1" x14ac:dyDescent="0.3"/>
    <row r="4857" hidden="1" x14ac:dyDescent="0.3"/>
    <row r="4858" hidden="1" x14ac:dyDescent="0.3"/>
    <row r="4859" hidden="1" x14ac:dyDescent="0.3"/>
    <row r="4860" hidden="1" x14ac:dyDescent="0.3"/>
    <row r="4861" hidden="1" x14ac:dyDescent="0.3"/>
    <row r="4862" hidden="1" x14ac:dyDescent="0.3"/>
    <row r="4863" hidden="1" x14ac:dyDescent="0.3"/>
    <row r="4864" hidden="1" x14ac:dyDescent="0.3"/>
    <row r="4865" hidden="1" x14ac:dyDescent="0.3"/>
    <row r="4866" hidden="1" x14ac:dyDescent="0.3"/>
    <row r="4867" hidden="1" x14ac:dyDescent="0.3"/>
    <row r="4868" hidden="1" x14ac:dyDescent="0.3"/>
    <row r="4869" hidden="1" x14ac:dyDescent="0.3"/>
    <row r="4870" hidden="1" x14ac:dyDescent="0.3"/>
    <row r="4871" hidden="1" x14ac:dyDescent="0.3"/>
    <row r="4872" hidden="1" x14ac:dyDescent="0.3"/>
    <row r="4873" hidden="1" x14ac:dyDescent="0.3"/>
    <row r="4874" hidden="1" x14ac:dyDescent="0.3"/>
    <row r="4875" hidden="1" x14ac:dyDescent="0.3"/>
    <row r="4876" hidden="1" x14ac:dyDescent="0.3"/>
    <row r="4877" hidden="1" x14ac:dyDescent="0.3"/>
    <row r="4878" hidden="1" x14ac:dyDescent="0.3"/>
    <row r="4879" hidden="1" x14ac:dyDescent="0.3"/>
    <row r="4880" hidden="1" x14ac:dyDescent="0.3"/>
    <row r="4881" hidden="1" x14ac:dyDescent="0.3"/>
    <row r="4882" hidden="1" x14ac:dyDescent="0.3"/>
    <row r="4883" hidden="1" x14ac:dyDescent="0.3"/>
    <row r="4884" hidden="1" x14ac:dyDescent="0.3"/>
    <row r="4885" hidden="1" x14ac:dyDescent="0.3"/>
    <row r="4886" hidden="1" x14ac:dyDescent="0.3"/>
    <row r="4887" hidden="1" x14ac:dyDescent="0.3"/>
    <row r="4888" hidden="1" x14ac:dyDescent="0.3"/>
    <row r="4889" hidden="1" x14ac:dyDescent="0.3"/>
    <row r="4890" hidden="1" x14ac:dyDescent="0.3"/>
    <row r="4891" hidden="1" x14ac:dyDescent="0.3"/>
    <row r="4892" hidden="1" x14ac:dyDescent="0.3"/>
    <row r="4893" hidden="1" x14ac:dyDescent="0.3"/>
    <row r="4894" hidden="1" x14ac:dyDescent="0.3"/>
    <row r="4895" hidden="1" x14ac:dyDescent="0.3"/>
    <row r="4896" hidden="1" x14ac:dyDescent="0.3"/>
    <row r="4897" hidden="1" x14ac:dyDescent="0.3"/>
    <row r="4898" hidden="1" x14ac:dyDescent="0.3"/>
    <row r="4899" hidden="1" x14ac:dyDescent="0.3"/>
    <row r="4900" hidden="1" x14ac:dyDescent="0.3"/>
    <row r="4901" hidden="1" x14ac:dyDescent="0.3"/>
    <row r="4902" hidden="1" x14ac:dyDescent="0.3"/>
    <row r="4903" hidden="1" x14ac:dyDescent="0.3"/>
    <row r="4904" hidden="1" x14ac:dyDescent="0.3"/>
    <row r="4905" hidden="1" x14ac:dyDescent="0.3"/>
    <row r="4906" hidden="1" x14ac:dyDescent="0.3"/>
    <row r="4907" hidden="1" x14ac:dyDescent="0.3"/>
    <row r="4908" hidden="1" x14ac:dyDescent="0.3"/>
    <row r="4909" hidden="1" x14ac:dyDescent="0.3"/>
    <row r="4910" hidden="1" x14ac:dyDescent="0.3"/>
    <row r="4911" hidden="1" x14ac:dyDescent="0.3"/>
    <row r="4912" hidden="1" x14ac:dyDescent="0.3"/>
    <row r="4913" hidden="1" x14ac:dyDescent="0.3"/>
    <row r="4914" hidden="1" x14ac:dyDescent="0.3"/>
    <row r="4915" hidden="1" x14ac:dyDescent="0.3"/>
    <row r="4916" hidden="1" x14ac:dyDescent="0.3"/>
    <row r="4917" hidden="1" x14ac:dyDescent="0.3"/>
    <row r="4918" hidden="1" x14ac:dyDescent="0.3"/>
    <row r="4919" hidden="1" x14ac:dyDescent="0.3"/>
    <row r="4920" hidden="1" x14ac:dyDescent="0.3"/>
    <row r="4921" hidden="1" x14ac:dyDescent="0.3"/>
    <row r="4922" hidden="1" x14ac:dyDescent="0.3"/>
    <row r="4923" hidden="1" x14ac:dyDescent="0.3"/>
    <row r="4924" hidden="1" x14ac:dyDescent="0.3"/>
    <row r="4925" hidden="1" x14ac:dyDescent="0.3"/>
    <row r="4926" hidden="1" x14ac:dyDescent="0.3"/>
    <row r="4927" hidden="1" x14ac:dyDescent="0.3"/>
    <row r="4928" hidden="1" x14ac:dyDescent="0.3"/>
    <row r="4929" hidden="1" x14ac:dyDescent="0.3"/>
    <row r="4930" hidden="1" x14ac:dyDescent="0.3"/>
    <row r="4931" hidden="1" x14ac:dyDescent="0.3"/>
    <row r="4932" hidden="1" x14ac:dyDescent="0.3"/>
    <row r="4933" hidden="1" x14ac:dyDescent="0.3"/>
    <row r="4934" hidden="1" x14ac:dyDescent="0.3"/>
    <row r="4935" hidden="1" x14ac:dyDescent="0.3"/>
    <row r="4936" hidden="1" x14ac:dyDescent="0.3"/>
    <row r="4937" hidden="1" x14ac:dyDescent="0.3"/>
    <row r="4938" hidden="1" x14ac:dyDescent="0.3"/>
    <row r="4939" hidden="1" x14ac:dyDescent="0.3"/>
    <row r="4940" hidden="1" x14ac:dyDescent="0.3"/>
    <row r="4941" hidden="1" x14ac:dyDescent="0.3"/>
    <row r="4942" hidden="1" x14ac:dyDescent="0.3"/>
    <row r="4943" hidden="1" x14ac:dyDescent="0.3"/>
    <row r="4944" hidden="1" x14ac:dyDescent="0.3"/>
    <row r="4945" hidden="1" x14ac:dyDescent="0.3"/>
    <row r="4946" hidden="1" x14ac:dyDescent="0.3"/>
    <row r="4947" hidden="1" x14ac:dyDescent="0.3"/>
    <row r="4948" hidden="1" x14ac:dyDescent="0.3"/>
    <row r="4949" hidden="1" x14ac:dyDescent="0.3"/>
    <row r="4950" hidden="1" x14ac:dyDescent="0.3"/>
    <row r="4951" hidden="1" x14ac:dyDescent="0.3"/>
    <row r="4952" hidden="1" x14ac:dyDescent="0.3"/>
    <row r="4953" hidden="1" x14ac:dyDescent="0.3"/>
    <row r="4954" hidden="1" x14ac:dyDescent="0.3"/>
    <row r="4955" hidden="1" x14ac:dyDescent="0.3"/>
    <row r="4956" hidden="1" x14ac:dyDescent="0.3"/>
    <row r="4957" hidden="1" x14ac:dyDescent="0.3"/>
    <row r="4958" hidden="1" x14ac:dyDescent="0.3"/>
    <row r="4959" hidden="1" x14ac:dyDescent="0.3"/>
    <row r="4960" hidden="1" x14ac:dyDescent="0.3"/>
    <row r="4961" hidden="1" x14ac:dyDescent="0.3"/>
    <row r="4962" hidden="1" x14ac:dyDescent="0.3"/>
    <row r="4963" hidden="1" x14ac:dyDescent="0.3"/>
    <row r="4964" hidden="1" x14ac:dyDescent="0.3"/>
    <row r="4965" hidden="1" x14ac:dyDescent="0.3"/>
    <row r="4966" hidden="1" x14ac:dyDescent="0.3"/>
    <row r="4967" hidden="1" x14ac:dyDescent="0.3"/>
    <row r="4968" hidden="1" x14ac:dyDescent="0.3"/>
    <row r="4969" hidden="1" x14ac:dyDescent="0.3"/>
    <row r="4970" hidden="1" x14ac:dyDescent="0.3"/>
    <row r="4971" hidden="1" x14ac:dyDescent="0.3"/>
    <row r="4972" hidden="1" x14ac:dyDescent="0.3"/>
    <row r="4973" hidden="1" x14ac:dyDescent="0.3"/>
    <row r="4974" hidden="1" x14ac:dyDescent="0.3"/>
    <row r="4975" hidden="1" x14ac:dyDescent="0.3"/>
    <row r="4976" hidden="1" x14ac:dyDescent="0.3"/>
    <row r="4977" hidden="1" x14ac:dyDescent="0.3"/>
    <row r="4978" hidden="1" x14ac:dyDescent="0.3"/>
    <row r="4979" hidden="1" x14ac:dyDescent="0.3"/>
    <row r="4980" hidden="1" x14ac:dyDescent="0.3"/>
    <row r="4981" hidden="1" x14ac:dyDescent="0.3"/>
    <row r="4982" hidden="1" x14ac:dyDescent="0.3"/>
    <row r="4983" hidden="1" x14ac:dyDescent="0.3"/>
    <row r="4984" hidden="1" x14ac:dyDescent="0.3"/>
    <row r="4985" hidden="1" x14ac:dyDescent="0.3"/>
    <row r="4986" hidden="1" x14ac:dyDescent="0.3"/>
    <row r="4987" hidden="1" x14ac:dyDescent="0.3"/>
    <row r="4988" hidden="1" x14ac:dyDescent="0.3"/>
    <row r="4989" hidden="1" x14ac:dyDescent="0.3"/>
    <row r="4990" hidden="1" x14ac:dyDescent="0.3"/>
    <row r="4991" hidden="1" x14ac:dyDescent="0.3"/>
    <row r="4992" hidden="1" x14ac:dyDescent="0.3"/>
    <row r="4993" hidden="1" x14ac:dyDescent="0.3"/>
    <row r="4994" hidden="1" x14ac:dyDescent="0.3"/>
    <row r="4995" hidden="1" x14ac:dyDescent="0.3"/>
    <row r="4996" hidden="1" x14ac:dyDescent="0.3"/>
    <row r="4997" hidden="1" x14ac:dyDescent="0.3"/>
    <row r="4998" hidden="1" x14ac:dyDescent="0.3"/>
    <row r="4999" hidden="1" x14ac:dyDescent="0.3"/>
    <row r="5000" hidden="1" x14ac:dyDescent="0.3"/>
  </sheetData>
  <mergeCells count="4">
    <mergeCell ref="A1:D1"/>
    <mergeCell ref="A2:D2"/>
    <mergeCell ref="A10:D10"/>
    <mergeCell ref="A23:D24"/>
  </mergeCells>
  <conditionalFormatting sqref="D6">
    <cfRule type="expression" dxfId="49" priority="1">
      <formula>$D$6&gt;=$D$7</formula>
    </cfRule>
    <cfRule type="expression" dxfId="48" priority="2">
      <formula>$D$6&lt;$D$7</formula>
    </cfRule>
  </conditionalFormatting>
  <conditionalFormatting sqref="D8">
    <cfRule type="expression" dxfId="47" priority="3">
      <formula>$D$8="Erfüllt"</formula>
    </cfRule>
    <cfRule type="expression" dxfId="46" priority="4">
      <formula>$D$8="Nicht erfüllt"</formula>
    </cfRule>
  </conditionalFormatting>
  <dataValidations count="1">
    <dataValidation type="list" showInputMessage="1" showErrorMessage="1" errorTitle="Ungültige Eingabe" error="Bitte Ja oder Nein auswählen." promptTitle="System erreichbar" prompt="Ja oder Nein auswählen." sqref="C12:C21" xr:uid="{0A35EF88-93BF-4882-B9AB-13479DAF71C1}">
      <formula1>"Ja,Nein"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E182-368C-431E-BB13-21901B1D0E8C}">
  <dimension ref="A1:E4998"/>
  <sheetViews>
    <sheetView showGridLines="0" workbookViewId="0">
      <selection activeCell="A2" sqref="A2:XFD2"/>
    </sheetView>
  </sheetViews>
  <sheetFormatPr baseColWidth="10" defaultRowHeight="14.4" x14ac:dyDescent="0.3"/>
  <cols>
    <col min="1" max="1" width="27.5546875" customWidth="1"/>
    <col min="2" max="2" width="13.6640625" customWidth="1"/>
    <col min="3" max="4" width="23.88671875" customWidth="1"/>
    <col min="5" max="5" width="21" customWidth="1"/>
    <col min="6" max="50" width="0" hidden="1" customWidth="1"/>
  </cols>
  <sheetData>
    <row r="1" spans="1:5" ht="32.1" customHeight="1" x14ac:dyDescent="0.45">
      <c r="A1" s="4" t="s">
        <v>85</v>
      </c>
      <c r="B1" s="4"/>
      <c r="C1" s="4"/>
      <c r="D1" s="4"/>
      <c r="E1" s="4"/>
    </row>
    <row r="2" spans="1:5" x14ac:dyDescent="0.3">
      <c r="A2" s="5" t="s">
        <v>1</v>
      </c>
      <c r="B2" s="5"/>
      <c r="C2" s="5"/>
      <c r="D2" s="5"/>
      <c r="E2" s="5"/>
    </row>
    <row r="3" spans="1:5" x14ac:dyDescent="0.3">
      <c r="A3" s="31" t="s">
        <v>86</v>
      </c>
      <c r="B3" s="31"/>
      <c r="C3" s="31"/>
      <c r="D3" s="58">
        <f>COUNT(tblResponseTime[Response Time in Millisekunden])</f>
        <v>10</v>
      </c>
      <c r="E3" s="15"/>
    </row>
    <row r="4" spans="1:5" x14ac:dyDescent="0.3">
      <c r="A4" s="31" t="s">
        <v>87</v>
      </c>
      <c r="B4" s="31"/>
      <c r="C4" s="31"/>
      <c r="D4" s="75">
        <f>AVERAGE(tblResponseTime[Response Time in Sekunden])</f>
        <v>1.0219999999999998</v>
      </c>
      <c r="E4" s="15"/>
    </row>
    <row r="5" spans="1:5" x14ac:dyDescent="0.3">
      <c r="A5" s="31" t="s">
        <v>88</v>
      </c>
      <c r="B5" s="31"/>
      <c r="C5" s="31"/>
      <c r="D5" s="75">
        <f>MAX(tblResponseTime[Response Time in Sekunden])</f>
        <v>1.66</v>
      </c>
      <c r="E5" s="15"/>
    </row>
    <row r="6" spans="1:5" x14ac:dyDescent="0.3">
      <c r="A6" s="31" t="s">
        <v>60</v>
      </c>
      <c r="B6" s="31"/>
      <c r="C6" s="31"/>
      <c r="D6" s="75">
        <v>2</v>
      </c>
      <c r="E6" s="15"/>
    </row>
    <row r="7" spans="1:5" x14ac:dyDescent="0.3">
      <c r="A7" s="56" t="s">
        <v>7</v>
      </c>
      <c r="B7" s="56"/>
      <c r="C7" s="56"/>
      <c r="D7" s="57" t="str">
        <f>IF(D5&lt;=D6,"Erfüllt","Nicht erfüllt")</f>
        <v>Erfüllt</v>
      </c>
      <c r="E7" s="15"/>
    </row>
    <row r="8" spans="1:5" x14ac:dyDescent="0.3">
      <c r="A8" s="15"/>
      <c r="B8" s="15"/>
      <c r="C8" s="15"/>
      <c r="D8" s="15"/>
      <c r="E8" s="15"/>
    </row>
    <row r="9" spans="1:5" x14ac:dyDescent="0.3">
      <c r="A9" s="5" t="s">
        <v>89</v>
      </c>
      <c r="B9" s="5"/>
      <c r="C9" s="5"/>
      <c r="D9" s="5"/>
      <c r="E9" s="5"/>
    </row>
    <row r="10" spans="1:5" ht="42" customHeight="1" thickBot="1" x14ac:dyDescent="0.35">
      <c r="A10" s="51" t="s">
        <v>90</v>
      </c>
      <c r="B10" s="52" t="s">
        <v>91</v>
      </c>
      <c r="C10" s="52" t="s">
        <v>92</v>
      </c>
      <c r="D10" s="52" t="s">
        <v>93</v>
      </c>
      <c r="E10" s="53" t="s">
        <v>94</v>
      </c>
    </row>
    <row r="11" spans="1:5" ht="15.6" thickTop="1" thickBot="1" x14ac:dyDescent="0.35">
      <c r="A11" s="54" t="s">
        <v>163</v>
      </c>
      <c r="B11" s="18">
        <v>1</v>
      </c>
      <c r="C11" s="71">
        <v>420</v>
      </c>
      <c r="D11" s="72">
        <f>tblResponseTime[[#This Row],[Response Time in Millisekunden]]/1000</f>
        <v>0.42</v>
      </c>
      <c r="E11" s="2" t="str">
        <f>IF(tblResponseTime[[#This Row],[Response Time in Sekunden]]&lt;=2,"Ja","Nein")</f>
        <v>Ja</v>
      </c>
    </row>
    <row r="12" spans="1:5" ht="15.6" thickTop="1" thickBot="1" x14ac:dyDescent="0.35">
      <c r="A12" s="54" t="s">
        <v>163</v>
      </c>
      <c r="B12" s="18">
        <v>2</v>
      </c>
      <c r="C12" s="71">
        <v>510</v>
      </c>
      <c r="D12" s="72">
        <f>tblResponseTime[[#This Row],[Response Time in Millisekunden]]/1000</f>
        <v>0.51</v>
      </c>
      <c r="E12" s="2" t="str">
        <f>IF(tblResponseTime[[#This Row],[Response Time in Sekunden]]&lt;=2,"Ja","Nein")</f>
        <v>Ja</v>
      </c>
    </row>
    <row r="13" spans="1:5" ht="15.6" thickTop="1" thickBot="1" x14ac:dyDescent="0.35">
      <c r="A13" s="54" t="s">
        <v>164</v>
      </c>
      <c r="B13" s="18">
        <v>1</v>
      </c>
      <c r="C13" s="71">
        <v>780</v>
      </c>
      <c r="D13" s="72">
        <f>tblResponseTime[[#This Row],[Response Time in Millisekunden]]/1000</f>
        <v>0.78</v>
      </c>
      <c r="E13" s="2" t="str">
        <f>IF(tblResponseTime[[#This Row],[Response Time in Sekunden]]&lt;=2,"Ja","Nein")</f>
        <v>Ja</v>
      </c>
    </row>
    <row r="14" spans="1:5" ht="15.6" thickTop="1" thickBot="1" x14ac:dyDescent="0.35">
      <c r="A14" s="54" t="s">
        <v>164</v>
      </c>
      <c r="B14" s="18">
        <v>2</v>
      </c>
      <c r="C14" s="71">
        <v>920</v>
      </c>
      <c r="D14" s="72">
        <f>tblResponseTime[[#This Row],[Response Time in Millisekunden]]/1000</f>
        <v>0.92</v>
      </c>
      <c r="E14" s="2" t="str">
        <f>IF(tblResponseTime[[#This Row],[Response Time in Sekunden]]&lt;=2,"Ja","Nein")</f>
        <v>Ja</v>
      </c>
    </row>
    <row r="15" spans="1:5" ht="15.6" thickTop="1" thickBot="1" x14ac:dyDescent="0.35">
      <c r="A15" s="54" t="s">
        <v>95</v>
      </c>
      <c r="B15" s="18">
        <v>1</v>
      </c>
      <c r="C15" s="71">
        <v>1180</v>
      </c>
      <c r="D15" s="72">
        <f>tblResponseTime[[#This Row],[Response Time in Millisekunden]]/1000</f>
        <v>1.18</v>
      </c>
      <c r="E15" s="2" t="str">
        <f>IF(tblResponseTime[[#This Row],[Response Time in Sekunden]]&lt;=2,"Ja","Nein")</f>
        <v>Ja</v>
      </c>
    </row>
    <row r="16" spans="1:5" ht="15.6" thickTop="1" thickBot="1" x14ac:dyDescent="0.35">
      <c r="A16" s="54" t="s">
        <v>95</v>
      </c>
      <c r="B16" s="18">
        <v>2</v>
      </c>
      <c r="C16" s="71">
        <v>1340</v>
      </c>
      <c r="D16" s="72">
        <f>tblResponseTime[[#This Row],[Response Time in Millisekunden]]/1000</f>
        <v>1.34</v>
      </c>
      <c r="E16" s="2" t="str">
        <f>IF(tblResponseTime[[#This Row],[Response Time in Sekunden]]&lt;=2,"Ja","Nein")</f>
        <v>Ja</v>
      </c>
    </row>
    <row r="17" spans="1:5" ht="15.6" thickTop="1" thickBot="1" x14ac:dyDescent="0.35">
      <c r="A17" s="54" t="s">
        <v>165</v>
      </c>
      <c r="B17" s="18">
        <v>1</v>
      </c>
      <c r="C17" s="71">
        <v>1520</v>
      </c>
      <c r="D17" s="72">
        <f>tblResponseTime[[#This Row],[Response Time in Millisekunden]]/1000</f>
        <v>1.52</v>
      </c>
      <c r="E17" s="2" t="str">
        <f>IF(tblResponseTime[[#This Row],[Response Time in Sekunden]]&lt;=2,"Ja","Nein")</f>
        <v>Ja</v>
      </c>
    </row>
    <row r="18" spans="1:5" ht="15.6" thickTop="1" thickBot="1" x14ac:dyDescent="0.35">
      <c r="A18" s="54" t="s">
        <v>165</v>
      </c>
      <c r="B18" s="18">
        <v>2</v>
      </c>
      <c r="C18" s="71">
        <v>1660</v>
      </c>
      <c r="D18" s="72">
        <f>tblResponseTime[[#This Row],[Response Time in Millisekunden]]/1000</f>
        <v>1.66</v>
      </c>
      <c r="E18" s="2" t="str">
        <f>IF(tblResponseTime[[#This Row],[Response Time in Sekunden]]&lt;=2,"Ja","Nein")</f>
        <v>Ja</v>
      </c>
    </row>
    <row r="19" spans="1:5" ht="15.6" thickTop="1" thickBot="1" x14ac:dyDescent="0.35">
      <c r="A19" s="54" t="s">
        <v>166</v>
      </c>
      <c r="B19" s="18">
        <v>1</v>
      </c>
      <c r="C19" s="71">
        <v>860</v>
      </c>
      <c r="D19" s="72">
        <f>tblResponseTime[[#This Row],[Response Time in Millisekunden]]/1000</f>
        <v>0.86</v>
      </c>
      <c r="E19" s="2" t="str">
        <f>IF(tblResponseTime[[#This Row],[Response Time in Sekunden]]&lt;=2,"Ja","Nein")</f>
        <v>Ja</v>
      </c>
    </row>
    <row r="20" spans="1:5" ht="15" thickTop="1" x14ac:dyDescent="0.3">
      <c r="A20" s="62" t="s">
        <v>166</v>
      </c>
      <c r="B20" s="21">
        <v>2</v>
      </c>
      <c r="C20" s="73">
        <v>1030</v>
      </c>
      <c r="D20" s="74">
        <f>tblResponseTime[[#This Row],[Response Time in Millisekunden]]/1000</f>
        <v>1.03</v>
      </c>
      <c r="E20" s="3" t="str">
        <f>IF(tblResponseTime[[#This Row],[Response Time in Sekunden]]&lt;=2,"Ja","Nein")</f>
        <v>Ja</v>
      </c>
    </row>
    <row r="21" spans="1:5" hidden="1" x14ac:dyDescent="0.3"/>
    <row r="22" spans="1:5" hidden="1" x14ac:dyDescent="0.3"/>
    <row r="23" spans="1:5" hidden="1" x14ac:dyDescent="0.3"/>
    <row r="24" spans="1:5" hidden="1" x14ac:dyDescent="0.3"/>
    <row r="25" spans="1:5" hidden="1" x14ac:dyDescent="0.3"/>
    <row r="26" spans="1:5" hidden="1" x14ac:dyDescent="0.3"/>
    <row r="27" spans="1:5" hidden="1" x14ac:dyDescent="0.3"/>
    <row r="28" spans="1:5" hidden="1" x14ac:dyDescent="0.3"/>
    <row r="29" spans="1:5" hidden="1" x14ac:dyDescent="0.3"/>
    <row r="30" spans="1:5" hidden="1" x14ac:dyDescent="0.3"/>
    <row r="31" spans="1:5" hidden="1" x14ac:dyDescent="0.3"/>
    <row r="32" spans="1:5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2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  <row r="380" hidden="1" x14ac:dyDescent="0.3"/>
    <row r="381" hidden="1" x14ac:dyDescent="0.3"/>
    <row r="382" hidden="1" x14ac:dyDescent="0.3"/>
    <row r="383" hidden="1" x14ac:dyDescent="0.3"/>
    <row r="384" hidden="1" x14ac:dyDescent="0.3"/>
    <row r="385" hidden="1" x14ac:dyDescent="0.3"/>
    <row r="386" hidden="1" x14ac:dyDescent="0.3"/>
    <row r="387" hidden="1" x14ac:dyDescent="0.3"/>
    <row r="388" hidden="1" x14ac:dyDescent="0.3"/>
    <row r="389" hidden="1" x14ac:dyDescent="0.3"/>
    <row r="390" hidden="1" x14ac:dyDescent="0.3"/>
    <row r="391" hidden="1" x14ac:dyDescent="0.3"/>
    <row r="392" hidden="1" x14ac:dyDescent="0.3"/>
    <row r="393" hidden="1" x14ac:dyDescent="0.3"/>
    <row r="394" hidden="1" x14ac:dyDescent="0.3"/>
    <row r="395" hidden="1" x14ac:dyDescent="0.3"/>
    <row r="396" hidden="1" x14ac:dyDescent="0.3"/>
    <row r="397" hidden="1" x14ac:dyDescent="0.3"/>
    <row r="398" hidden="1" x14ac:dyDescent="0.3"/>
    <row r="399" hidden="1" x14ac:dyDescent="0.3"/>
    <row r="400" hidden="1" x14ac:dyDescent="0.3"/>
    <row r="401" hidden="1" x14ac:dyDescent="0.3"/>
    <row r="402" hidden="1" x14ac:dyDescent="0.3"/>
    <row r="403" hidden="1" x14ac:dyDescent="0.3"/>
    <row r="404" hidden="1" x14ac:dyDescent="0.3"/>
    <row r="405" hidden="1" x14ac:dyDescent="0.3"/>
    <row r="406" hidden="1" x14ac:dyDescent="0.3"/>
    <row r="407" hidden="1" x14ac:dyDescent="0.3"/>
    <row r="408" hidden="1" x14ac:dyDescent="0.3"/>
    <row r="409" hidden="1" x14ac:dyDescent="0.3"/>
    <row r="410" hidden="1" x14ac:dyDescent="0.3"/>
    <row r="411" hidden="1" x14ac:dyDescent="0.3"/>
    <row r="412" hidden="1" x14ac:dyDescent="0.3"/>
    <row r="413" hidden="1" x14ac:dyDescent="0.3"/>
    <row r="414" hidden="1" x14ac:dyDescent="0.3"/>
    <row r="415" hidden="1" x14ac:dyDescent="0.3"/>
    <row r="416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  <row r="427" hidden="1" x14ac:dyDescent="0.3"/>
    <row r="428" hidden="1" x14ac:dyDescent="0.3"/>
    <row r="429" hidden="1" x14ac:dyDescent="0.3"/>
    <row r="430" hidden="1" x14ac:dyDescent="0.3"/>
    <row r="431" hidden="1" x14ac:dyDescent="0.3"/>
    <row r="432" hidden="1" x14ac:dyDescent="0.3"/>
    <row r="433" hidden="1" x14ac:dyDescent="0.3"/>
    <row r="434" hidden="1" x14ac:dyDescent="0.3"/>
    <row r="435" hidden="1" x14ac:dyDescent="0.3"/>
    <row r="436" hidden="1" x14ac:dyDescent="0.3"/>
    <row r="437" hidden="1" x14ac:dyDescent="0.3"/>
    <row r="438" hidden="1" x14ac:dyDescent="0.3"/>
    <row r="439" hidden="1" x14ac:dyDescent="0.3"/>
    <row r="440" hidden="1" x14ac:dyDescent="0.3"/>
    <row r="441" hidden="1" x14ac:dyDescent="0.3"/>
    <row r="442" hidden="1" x14ac:dyDescent="0.3"/>
    <row r="443" hidden="1" x14ac:dyDescent="0.3"/>
    <row r="444" hidden="1" x14ac:dyDescent="0.3"/>
    <row r="445" hidden="1" x14ac:dyDescent="0.3"/>
    <row r="446" hidden="1" x14ac:dyDescent="0.3"/>
    <row r="447" hidden="1" x14ac:dyDescent="0.3"/>
    <row r="448" hidden="1" x14ac:dyDescent="0.3"/>
    <row r="449" hidden="1" x14ac:dyDescent="0.3"/>
    <row r="450" hidden="1" x14ac:dyDescent="0.3"/>
    <row r="451" hidden="1" x14ac:dyDescent="0.3"/>
    <row r="452" hidden="1" x14ac:dyDescent="0.3"/>
    <row r="453" hidden="1" x14ac:dyDescent="0.3"/>
    <row r="454" hidden="1" x14ac:dyDescent="0.3"/>
    <row r="455" hidden="1" x14ac:dyDescent="0.3"/>
    <row r="456" hidden="1" x14ac:dyDescent="0.3"/>
    <row r="457" hidden="1" x14ac:dyDescent="0.3"/>
    <row r="458" hidden="1" x14ac:dyDescent="0.3"/>
    <row r="459" hidden="1" x14ac:dyDescent="0.3"/>
    <row r="460" hidden="1" x14ac:dyDescent="0.3"/>
    <row r="461" hidden="1" x14ac:dyDescent="0.3"/>
    <row r="462" hidden="1" x14ac:dyDescent="0.3"/>
    <row r="463" hidden="1" x14ac:dyDescent="0.3"/>
    <row r="464" hidden="1" x14ac:dyDescent="0.3"/>
    <row r="465" hidden="1" x14ac:dyDescent="0.3"/>
    <row r="466" hidden="1" x14ac:dyDescent="0.3"/>
    <row r="467" hidden="1" x14ac:dyDescent="0.3"/>
    <row r="468" hidden="1" x14ac:dyDescent="0.3"/>
    <row r="469" hidden="1" x14ac:dyDescent="0.3"/>
    <row r="470" hidden="1" x14ac:dyDescent="0.3"/>
    <row r="471" hidden="1" x14ac:dyDescent="0.3"/>
    <row r="472" hidden="1" x14ac:dyDescent="0.3"/>
    <row r="473" hidden="1" x14ac:dyDescent="0.3"/>
    <row r="474" hidden="1" x14ac:dyDescent="0.3"/>
    <row r="475" hidden="1" x14ac:dyDescent="0.3"/>
    <row r="476" hidden="1" x14ac:dyDescent="0.3"/>
    <row r="477" hidden="1" x14ac:dyDescent="0.3"/>
    <row r="478" hidden="1" x14ac:dyDescent="0.3"/>
    <row r="479" hidden="1" x14ac:dyDescent="0.3"/>
    <row r="480" hidden="1" x14ac:dyDescent="0.3"/>
    <row r="481" hidden="1" x14ac:dyDescent="0.3"/>
    <row r="482" hidden="1" x14ac:dyDescent="0.3"/>
    <row r="483" hidden="1" x14ac:dyDescent="0.3"/>
    <row r="484" hidden="1" x14ac:dyDescent="0.3"/>
    <row r="485" hidden="1" x14ac:dyDescent="0.3"/>
    <row r="486" hidden="1" x14ac:dyDescent="0.3"/>
    <row r="487" hidden="1" x14ac:dyDescent="0.3"/>
    <row r="488" hidden="1" x14ac:dyDescent="0.3"/>
    <row r="489" hidden="1" x14ac:dyDescent="0.3"/>
    <row r="490" hidden="1" x14ac:dyDescent="0.3"/>
    <row r="491" hidden="1" x14ac:dyDescent="0.3"/>
    <row r="492" hidden="1" x14ac:dyDescent="0.3"/>
    <row r="493" hidden="1" x14ac:dyDescent="0.3"/>
    <row r="494" hidden="1" x14ac:dyDescent="0.3"/>
    <row r="495" hidden="1" x14ac:dyDescent="0.3"/>
    <row r="496" hidden="1" x14ac:dyDescent="0.3"/>
    <row r="497" hidden="1" x14ac:dyDescent="0.3"/>
    <row r="498" hidden="1" x14ac:dyDescent="0.3"/>
    <row r="499" hidden="1" x14ac:dyDescent="0.3"/>
    <row r="500" hidden="1" x14ac:dyDescent="0.3"/>
    <row r="501" hidden="1" x14ac:dyDescent="0.3"/>
    <row r="502" hidden="1" x14ac:dyDescent="0.3"/>
    <row r="503" hidden="1" x14ac:dyDescent="0.3"/>
    <row r="504" hidden="1" x14ac:dyDescent="0.3"/>
    <row r="505" hidden="1" x14ac:dyDescent="0.3"/>
    <row r="506" hidden="1" x14ac:dyDescent="0.3"/>
    <row r="507" hidden="1" x14ac:dyDescent="0.3"/>
    <row r="508" hidden="1" x14ac:dyDescent="0.3"/>
    <row r="509" hidden="1" x14ac:dyDescent="0.3"/>
    <row r="510" hidden="1" x14ac:dyDescent="0.3"/>
    <row r="511" hidden="1" x14ac:dyDescent="0.3"/>
    <row r="51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  <row r="553" hidden="1" x14ac:dyDescent="0.3"/>
    <row r="554" hidden="1" x14ac:dyDescent="0.3"/>
    <row r="555" hidden="1" x14ac:dyDescent="0.3"/>
    <row r="556" hidden="1" x14ac:dyDescent="0.3"/>
    <row r="557" hidden="1" x14ac:dyDescent="0.3"/>
    <row r="558" hidden="1" x14ac:dyDescent="0.3"/>
    <row r="559" hidden="1" x14ac:dyDescent="0.3"/>
    <row r="560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2" hidden="1" x14ac:dyDescent="0.3"/>
    <row r="583" hidden="1" x14ac:dyDescent="0.3"/>
    <row r="584" hidden="1" x14ac:dyDescent="0.3"/>
    <row r="585" hidden="1" x14ac:dyDescent="0.3"/>
    <row r="586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2" hidden="1" x14ac:dyDescent="0.3"/>
    <row r="593" hidden="1" x14ac:dyDescent="0.3"/>
    <row r="594" hidden="1" x14ac:dyDescent="0.3"/>
    <row r="595" hidden="1" x14ac:dyDescent="0.3"/>
    <row r="596" hidden="1" x14ac:dyDescent="0.3"/>
    <row r="597" hidden="1" x14ac:dyDescent="0.3"/>
    <row r="598" hidden="1" x14ac:dyDescent="0.3"/>
    <row r="599" hidden="1" x14ac:dyDescent="0.3"/>
    <row r="600" hidden="1" x14ac:dyDescent="0.3"/>
    <row r="601" hidden="1" x14ac:dyDescent="0.3"/>
    <row r="602" hidden="1" x14ac:dyDescent="0.3"/>
    <row r="603" hidden="1" x14ac:dyDescent="0.3"/>
    <row r="604" hidden="1" x14ac:dyDescent="0.3"/>
    <row r="605" hidden="1" x14ac:dyDescent="0.3"/>
    <row r="606" hidden="1" x14ac:dyDescent="0.3"/>
    <row r="607" hidden="1" x14ac:dyDescent="0.3"/>
    <row r="608" hidden="1" x14ac:dyDescent="0.3"/>
    <row r="609" hidden="1" x14ac:dyDescent="0.3"/>
    <row r="610" hidden="1" x14ac:dyDescent="0.3"/>
    <row r="611" hidden="1" x14ac:dyDescent="0.3"/>
    <row r="612" hidden="1" x14ac:dyDescent="0.3"/>
    <row r="613" hidden="1" x14ac:dyDescent="0.3"/>
    <row r="614" hidden="1" x14ac:dyDescent="0.3"/>
    <row r="615" hidden="1" x14ac:dyDescent="0.3"/>
    <row r="616" hidden="1" x14ac:dyDescent="0.3"/>
    <row r="617" hidden="1" x14ac:dyDescent="0.3"/>
    <row r="618" hidden="1" x14ac:dyDescent="0.3"/>
    <row r="619" hidden="1" x14ac:dyDescent="0.3"/>
    <row r="620" hidden="1" x14ac:dyDescent="0.3"/>
    <row r="621" hidden="1" x14ac:dyDescent="0.3"/>
    <row r="622" hidden="1" x14ac:dyDescent="0.3"/>
    <row r="623" hidden="1" x14ac:dyDescent="0.3"/>
    <row r="624" hidden="1" x14ac:dyDescent="0.3"/>
    <row r="625" hidden="1" x14ac:dyDescent="0.3"/>
    <row r="626" hidden="1" x14ac:dyDescent="0.3"/>
    <row r="627" hidden="1" x14ac:dyDescent="0.3"/>
    <row r="628" hidden="1" x14ac:dyDescent="0.3"/>
    <row r="629" hidden="1" x14ac:dyDescent="0.3"/>
    <row r="630" hidden="1" x14ac:dyDescent="0.3"/>
    <row r="631" hidden="1" x14ac:dyDescent="0.3"/>
    <row r="632" hidden="1" x14ac:dyDescent="0.3"/>
    <row r="633" hidden="1" x14ac:dyDescent="0.3"/>
    <row r="634" hidden="1" x14ac:dyDescent="0.3"/>
    <row r="635" hidden="1" x14ac:dyDescent="0.3"/>
    <row r="636" hidden="1" x14ac:dyDescent="0.3"/>
    <row r="637" hidden="1" x14ac:dyDescent="0.3"/>
    <row r="638" hidden="1" x14ac:dyDescent="0.3"/>
    <row r="639" hidden="1" x14ac:dyDescent="0.3"/>
    <row r="640" hidden="1" x14ac:dyDescent="0.3"/>
    <row r="641" hidden="1" x14ac:dyDescent="0.3"/>
    <row r="642" hidden="1" x14ac:dyDescent="0.3"/>
    <row r="643" hidden="1" x14ac:dyDescent="0.3"/>
    <row r="644" hidden="1" x14ac:dyDescent="0.3"/>
    <row r="645" hidden="1" x14ac:dyDescent="0.3"/>
    <row r="646" hidden="1" x14ac:dyDescent="0.3"/>
    <row r="647" hidden="1" x14ac:dyDescent="0.3"/>
    <row r="648" hidden="1" x14ac:dyDescent="0.3"/>
    <row r="649" hidden="1" x14ac:dyDescent="0.3"/>
    <row r="650" hidden="1" x14ac:dyDescent="0.3"/>
    <row r="651" hidden="1" x14ac:dyDescent="0.3"/>
    <row r="652" hidden="1" x14ac:dyDescent="0.3"/>
    <row r="653" hidden="1" x14ac:dyDescent="0.3"/>
    <row r="654" hidden="1" x14ac:dyDescent="0.3"/>
    <row r="655" hidden="1" x14ac:dyDescent="0.3"/>
    <row r="656" hidden="1" x14ac:dyDescent="0.3"/>
    <row r="657" hidden="1" x14ac:dyDescent="0.3"/>
    <row r="658" hidden="1" x14ac:dyDescent="0.3"/>
    <row r="659" hidden="1" x14ac:dyDescent="0.3"/>
    <row r="660" hidden="1" x14ac:dyDescent="0.3"/>
    <row r="661" hidden="1" x14ac:dyDescent="0.3"/>
    <row r="662" hidden="1" x14ac:dyDescent="0.3"/>
    <row r="663" hidden="1" x14ac:dyDescent="0.3"/>
    <row r="664" hidden="1" x14ac:dyDescent="0.3"/>
    <row r="665" hidden="1" x14ac:dyDescent="0.3"/>
    <row r="666" hidden="1" x14ac:dyDescent="0.3"/>
    <row r="667" hidden="1" x14ac:dyDescent="0.3"/>
    <row r="668" hidden="1" x14ac:dyDescent="0.3"/>
    <row r="669" hidden="1" x14ac:dyDescent="0.3"/>
    <row r="670" hidden="1" x14ac:dyDescent="0.3"/>
    <row r="671" hidden="1" x14ac:dyDescent="0.3"/>
    <row r="672" hidden="1" x14ac:dyDescent="0.3"/>
    <row r="673" hidden="1" x14ac:dyDescent="0.3"/>
    <row r="674" hidden="1" x14ac:dyDescent="0.3"/>
    <row r="675" hidden="1" x14ac:dyDescent="0.3"/>
    <row r="676" hidden="1" x14ac:dyDescent="0.3"/>
    <row r="677" hidden="1" x14ac:dyDescent="0.3"/>
    <row r="678" hidden="1" x14ac:dyDescent="0.3"/>
    <row r="679" hidden="1" x14ac:dyDescent="0.3"/>
    <row r="680" hidden="1" x14ac:dyDescent="0.3"/>
    <row r="681" hidden="1" x14ac:dyDescent="0.3"/>
    <row r="682" hidden="1" x14ac:dyDescent="0.3"/>
    <row r="683" hidden="1" x14ac:dyDescent="0.3"/>
    <row r="684" hidden="1" x14ac:dyDescent="0.3"/>
    <row r="685" hidden="1" x14ac:dyDescent="0.3"/>
    <row r="686" hidden="1" x14ac:dyDescent="0.3"/>
    <row r="687" hidden="1" x14ac:dyDescent="0.3"/>
    <row r="688" hidden="1" x14ac:dyDescent="0.3"/>
    <row r="689" hidden="1" x14ac:dyDescent="0.3"/>
    <row r="690" hidden="1" x14ac:dyDescent="0.3"/>
    <row r="691" hidden="1" x14ac:dyDescent="0.3"/>
    <row r="692" hidden="1" x14ac:dyDescent="0.3"/>
    <row r="693" hidden="1" x14ac:dyDescent="0.3"/>
    <row r="694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5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1" hidden="1" x14ac:dyDescent="0.3"/>
    <row r="712" hidden="1" x14ac:dyDescent="0.3"/>
    <row r="713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hidden="1" x14ac:dyDescent="0.3"/>
    <row r="722" hidden="1" x14ac:dyDescent="0.3"/>
    <row r="723" hidden="1" x14ac:dyDescent="0.3"/>
    <row r="724" hidden="1" x14ac:dyDescent="0.3"/>
    <row r="725" hidden="1" x14ac:dyDescent="0.3"/>
    <row r="726" hidden="1" x14ac:dyDescent="0.3"/>
    <row r="727" hidden="1" x14ac:dyDescent="0.3"/>
    <row r="728" hidden="1" x14ac:dyDescent="0.3"/>
    <row r="729" hidden="1" x14ac:dyDescent="0.3"/>
    <row r="730" hidden="1" x14ac:dyDescent="0.3"/>
    <row r="731" hidden="1" x14ac:dyDescent="0.3"/>
    <row r="732" hidden="1" x14ac:dyDescent="0.3"/>
    <row r="733" hidden="1" x14ac:dyDescent="0.3"/>
    <row r="734" hidden="1" x14ac:dyDescent="0.3"/>
    <row r="735" hidden="1" x14ac:dyDescent="0.3"/>
    <row r="736" hidden="1" x14ac:dyDescent="0.3"/>
    <row r="737" hidden="1" x14ac:dyDescent="0.3"/>
    <row r="738" hidden="1" x14ac:dyDescent="0.3"/>
    <row r="739" hidden="1" x14ac:dyDescent="0.3"/>
    <row r="740" hidden="1" x14ac:dyDescent="0.3"/>
    <row r="741" hidden="1" x14ac:dyDescent="0.3"/>
    <row r="742" hidden="1" x14ac:dyDescent="0.3"/>
    <row r="743" hidden="1" x14ac:dyDescent="0.3"/>
    <row r="744" hidden="1" x14ac:dyDescent="0.3"/>
    <row r="745" hidden="1" x14ac:dyDescent="0.3"/>
    <row r="746" hidden="1" x14ac:dyDescent="0.3"/>
    <row r="747" hidden="1" x14ac:dyDescent="0.3"/>
    <row r="748" hidden="1" x14ac:dyDescent="0.3"/>
    <row r="749" hidden="1" x14ac:dyDescent="0.3"/>
    <row r="750" hidden="1" x14ac:dyDescent="0.3"/>
    <row r="751" hidden="1" x14ac:dyDescent="0.3"/>
    <row r="752" hidden="1" x14ac:dyDescent="0.3"/>
    <row r="753" hidden="1" x14ac:dyDescent="0.3"/>
    <row r="754" hidden="1" x14ac:dyDescent="0.3"/>
    <row r="755" hidden="1" x14ac:dyDescent="0.3"/>
    <row r="756" hidden="1" x14ac:dyDescent="0.3"/>
    <row r="757" hidden="1" x14ac:dyDescent="0.3"/>
    <row r="758" hidden="1" x14ac:dyDescent="0.3"/>
    <row r="759" hidden="1" x14ac:dyDescent="0.3"/>
    <row r="760" hidden="1" x14ac:dyDescent="0.3"/>
    <row r="761" hidden="1" x14ac:dyDescent="0.3"/>
    <row r="762" hidden="1" x14ac:dyDescent="0.3"/>
    <row r="763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2" hidden="1" x14ac:dyDescent="0.3"/>
    <row r="773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79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5" hidden="1" x14ac:dyDescent="0.3"/>
    <row r="786" hidden="1" x14ac:dyDescent="0.3"/>
    <row r="787" hidden="1" x14ac:dyDescent="0.3"/>
    <row r="788" hidden="1" x14ac:dyDescent="0.3"/>
    <row r="789" hidden="1" x14ac:dyDescent="0.3"/>
    <row r="790" hidden="1" x14ac:dyDescent="0.3"/>
    <row r="791" hidden="1" x14ac:dyDescent="0.3"/>
    <row r="792" hidden="1" x14ac:dyDescent="0.3"/>
    <row r="793" hidden="1" x14ac:dyDescent="0.3"/>
    <row r="794" hidden="1" x14ac:dyDescent="0.3"/>
    <row r="795" hidden="1" x14ac:dyDescent="0.3"/>
    <row r="796" hidden="1" x14ac:dyDescent="0.3"/>
    <row r="797" hidden="1" x14ac:dyDescent="0.3"/>
    <row r="798" hidden="1" x14ac:dyDescent="0.3"/>
    <row r="799" hidden="1" x14ac:dyDescent="0.3"/>
    <row r="800" hidden="1" x14ac:dyDescent="0.3"/>
    <row r="801" hidden="1" x14ac:dyDescent="0.3"/>
    <row r="802" hidden="1" x14ac:dyDescent="0.3"/>
    <row r="803" hidden="1" x14ac:dyDescent="0.3"/>
    <row r="804" hidden="1" x14ac:dyDescent="0.3"/>
    <row r="805" hidden="1" x14ac:dyDescent="0.3"/>
    <row r="806" hidden="1" x14ac:dyDescent="0.3"/>
    <row r="807" hidden="1" x14ac:dyDescent="0.3"/>
    <row r="808" hidden="1" x14ac:dyDescent="0.3"/>
    <row r="809" hidden="1" x14ac:dyDescent="0.3"/>
    <row r="810" hidden="1" x14ac:dyDescent="0.3"/>
    <row r="811" hidden="1" x14ac:dyDescent="0.3"/>
    <row r="812" hidden="1" x14ac:dyDescent="0.3"/>
    <row r="813" hidden="1" x14ac:dyDescent="0.3"/>
    <row r="814" hidden="1" x14ac:dyDescent="0.3"/>
    <row r="815" hidden="1" x14ac:dyDescent="0.3"/>
    <row r="816" hidden="1" x14ac:dyDescent="0.3"/>
    <row r="817" hidden="1" x14ac:dyDescent="0.3"/>
    <row r="818" hidden="1" x14ac:dyDescent="0.3"/>
    <row r="819" hidden="1" x14ac:dyDescent="0.3"/>
    <row r="820" hidden="1" x14ac:dyDescent="0.3"/>
    <row r="821" hidden="1" x14ac:dyDescent="0.3"/>
    <row r="822" hidden="1" x14ac:dyDescent="0.3"/>
    <row r="823" hidden="1" x14ac:dyDescent="0.3"/>
    <row r="824" hidden="1" x14ac:dyDescent="0.3"/>
    <row r="825" hidden="1" x14ac:dyDescent="0.3"/>
    <row r="826" hidden="1" x14ac:dyDescent="0.3"/>
    <row r="827" hidden="1" x14ac:dyDescent="0.3"/>
    <row r="828" hidden="1" x14ac:dyDescent="0.3"/>
    <row r="829" hidden="1" x14ac:dyDescent="0.3"/>
    <row r="830" hidden="1" x14ac:dyDescent="0.3"/>
    <row r="831" hidden="1" x14ac:dyDescent="0.3"/>
    <row r="832" hidden="1" x14ac:dyDescent="0.3"/>
    <row r="833" hidden="1" x14ac:dyDescent="0.3"/>
    <row r="834" hidden="1" x14ac:dyDescent="0.3"/>
    <row r="835" hidden="1" x14ac:dyDescent="0.3"/>
    <row r="836" hidden="1" x14ac:dyDescent="0.3"/>
    <row r="837" hidden="1" x14ac:dyDescent="0.3"/>
    <row r="838" hidden="1" x14ac:dyDescent="0.3"/>
    <row r="839" hidden="1" x14ac:dyDescent="0.3"/>
    <row r="840" hidden="1" x14ac:dyDescent="0.3"/>
    <row r="841" hidden="1" x14ac:dyDescent="0.3"/>
    <row r="842" hidden="1" x14ac:dyDescent="0.3"/>
    <row r="843" hidden="1" x14ac:dyDescent="0.3"/>
    <row r="844" hidden="1" x14ac:dyDescent="0.3"/>
    <row r="845" hidden="1" x14ac:dyDescent="0.3"/>
    <row r="846" hidden="1" x14ac:dyDescent="0.3"/>
    <row r="847" hidden="1" x14ac:dyDescent="0.3"/>
    <row r="848" hidden="1" x14ac:dyDescent="0.3"/>
    <row r="849" hidden="1" x14ac:dyDescent="0.3"/>
    <row r="850" hidden="1" x14ac:dyDescent="0.3"/>
    <row r="851" hidden="1" x14ac:dyDescent="0.3"/>
    <row r="852" hidden="1" x14ac:dyDescent="0.3"/>
    <row r="853" hidden="1" x14ac:dyDescent="0.3"/>
    <row r="854" hidden="1" x14ac:dyDescent="0.3"/>
    <row r="855" hidden="1" x14ac:dyDescent="0.3"/>
    <row r="856" hidden="1" x14ac:dyDescent="0.3"/>
    <row r="857" hidden="1" x14ac:dyDescent="0.3"/>
    <row r="858" hidden="1" x14ac:dyDescent="0.3"/>
    <row r="859" hidden="1" x14ac:dyDescent="0.3"/>
    <row r="860" hidden="1" x14ac:dyDescent="0.3"/>
    <row r="861" hidden="1" x14ac:dyDescent="0.3"/>
    <row r="862" hidden="1" x14ac:dyDescent="0.3"/>
    <row r="863" hidden="1" x14ac:dyDescent="0.3"/>
    <row r="864" hidden="1" x14ac:dyDescent="0.3"/>
    <row r="865" hidden="1" x14ac:dyDescent="0.3"/>
    <row r="866" hidden="1" x14ac:dyDescent="0.3"/>
    <row r="867" hidden="1" x14ac:dyDescent="0.3"/>
    <row r="868" hidden="1" x14ac:dyDescent="0.3"/>
    <row r="869" hidden="1" x14ac:dyDescent="0.3"/>
    <row r="870" hidden="1" x14ac:dyDescent="0.3"/>
    <row r="871" hidden="1" x14ac:dyDescent="0.3"/>
    <row r="872" hidden="1" x14ac:dyDescent="0.3"/>
    <row r="873" hidden="1" x14ac:dyDescent="0.3"/>
    <row r="874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3" hidden="1" x14ac:dyDescent="0.3"/>
    <row r="884" hidden="1" x14ac:dyDescent="0.3"/>
    <row r="885" hidden="1" x14ac:dyDescent="0.3"/>
    <row r="886" hidden="1" x14ac:dyDescent="0.3"/>
    <row r="887" hidden="1" x14ac:dyDescent="0.3"/>
    <row r="888" hidden="1" x14ac:dyDescent="0.3"/>
    <row r="889" hidden="1" x14ac:dyDescent="0.3"/>
    <row r="890" hidden="1" x14ac:dyDescent="0.3"/>
    <row r="891" hidden="1" x14ac:dyDescent="0.3"/>
    <row r="892" hidden="1" x14ac:dyDescent="0.3"/>
    <row r="893" hidden="1" x14ac:dyDescent="0.3"/>
    <row r="894" hidden="1" x14ac:dyDescent="0.3"/>
    <row r="895" hidden="1" x14ac:dyDescent="0.3"/>
    <row r="896" hidden="1" x14ac:dyDescent="0.3"/>
    <row r="897" hidden="1" x14ac:dyDescent="0.3"/>
    <row r="898" hidden="1" x14ac:dyDescent="0.3"/>
    <row r="899" hidden="1" x14ac:dyDescent="0.3"/>
    <row r="900" hidden="1" x14ac:dyDescent="0.3"/>
    <row r="901" hidden="1" x14ac:dyDescent="0.3"/>
    <row r="902" hidden="1" x14ac:dyDescent="0.3"/>
    <row r="903" hidden="1" x14ac:dyDescent="0.3"/>
    <row r="904" hidden="1" x14ac:dyDescent="0.3"/>
    <row r="905" hidden="1" x14ac:dyDescent="0.3"/>
    <row r="906" hidden="1" x14ac:dyDescent="0.3"/>
    <row r="907" hidden="1" x14ac:dyDescent="0.3"/>
    <row r="908" hidden="1" x14ac:dyDescent="0.3"/>
    <row r="909" hidden="1" x14ac:dyDescent="0.3"/>
    <row r="910" hidden="1" x14ac:dyDescent="0.3"/>
    <row r="911" hidden="1" x14ac:dyDescent="0.3"/>
    <row r="912" hidden="1" x14ac:dyDescent="0.3"/>
    <row r="913" hidden="1" x14ac:dyDescent="0.3"/>
    <row r="914" hidden="1" x14ac:dyDescent="0.3"/>
    <row r="915" hidden="1" x14ac:dyDescent="0.3"/>
    <row r="916" hidden="1" x14ac:dyDescent="0.3"/>
    <row r="917" hidden="1" x14ac:dyDescent="0.3"/>
    <row r="918" hidden="1" x14ac:dyDescent="0.3"/>
    <row r="919" hidden="1" x14ac:dyDescent="0.3"/>
    <row r="920" hidden="1" x14ac:dyDescent="0.3"/>
    <row r="921" hidden="1" x14ac:dyDescent="0.3"/>
    <row r="922" hidden="1" x14ac:dyDescent="0.3"/>
    <row r="923" hidden="1" x14ac:dyDescent="0.3"/>
    <row r="924" hidden="1" x14ac:dyDescent="0.3"/>
    <row r="925" hidden="1" x14ac:dyDescent="0.3"/>
    <row r="926" hidden="1" x14ac:dyDescent="0.3"/>
    <row r="927" hidden="1" x14ac:dyDescent="0.3"/>
    <row r="928" hidden="1" x14ac:dyDescent="0.3"/>
    <row r="929" hidden="1" x14ac:dyDescent="0.3"/>
    <row r="930" hidden="1" x14ac:dyDescent="0.3"/>
    <row r="931" hidden="1" x14ac:dyDescent="0.3"/>
    <row r="932" hidden="1" x14ac:dyDescent="0.3"/>
    <row r="933" hidden="1" x14ac:dyDescent="0.3"/>
    <row r="934" hidden="1" x14ac:dyDescent="0.3"/>
    <row r="935" hidden="1" x14ac:dyDescent="0.3"/>
    <row r="936" hidden="1" x14ac:dyDescent="0.3"/>
    <row r="937" hidden="1" x14ac:dyDescent="0.3"/>
    <row r="938" hidden="1" x14ac:dyDescent="0.3"/>
    <row r="939" hidden="1" x14ac:dyDescent="0.3"/>
    <row r="940" hidden="1" x14ac:dyDescent="0.3"/>
    <row r="941" hidden="1" x14ac:dyDescent="0.3"/>
    <row r="942" hidden="1" x14ac:dyDescent="0.3"/>
    <row r="943" hidden="1" x14ac:dyDescent="0.3"/>
    <row r="944" hidden="1" x14ac:dyDescent="0.3"/>
    <row r="945" hidden="1" x14ac:dyDescent="0.3"/>
    <row r="946" hidden="1" x14ac:dyDescent="0.3"/>
    <row r="947" hidden="1" x14ac:dyDescent="0.3"/>
    <row r="948" hidden="1" x14ac:dyDescent="0.3"/>
    <row r="949" hidden="1" x14ac:dyDescent="0.3"/>
    <row r="950" hidden="1" x14ac:dyDescent="0.3"/>
    <row r="951" hidden="1" x14ac:dyDescent="0.3"/>
    <row r="952" hidden="1" x14ac:dyDescent="0.3"/>
    <row r="953" hidden="1" x14ac:dyDescent="0.3"/>
    <row r="954" hidden="1" x14ac:dyDescent="0.3"/>
    <row r="955" hidden="1" x14ac:dyDescent="0.3"/>
    <row r="956" hidden="1" x14ac:dyDescent="0.3"/>
    <row r="957" hidden="1" x14ac:dyDescent="0.3"/>
    <row r="958" hidden="1" x14ac:dyDescent="0.3"/>
    <row r="959" hidden="1" x14ac:dyDescent="0.3"/>
    <row r="960" hidden="1" x14ac:dyDescent="0.3"/>
    <row r="961" hidden="1" x14ac:dyDescent="0.3"/>
    <row r="962" hidden="1" x14ac:dyDescent="0.3"/>
    <row r="963" hidden="1" x14ac:dyDescent="0.3"/>
    <row r="964" hidden="1" x14ac:dyDescent="0.3"/>
    <row r="965" hidden="1" x14ac:dyDescent="0.3"/>
    <row r="966" hidden="1" x14ac:dyDescent="0.3"/>
    <row r="967" hidden="1" x14ac:dyDescent="0.3"/>
    <row r="968" hidden="1" x14ac:dyDescent="0.3"/>
    <row r="969" hidden="1" x14ac:dyDescent="0.3"/>
    <row r="970" hidden="1" x14ac:dyDescent="0.3"/>
    <row r="971" hidden="1" x14ac:dyDescent="0.3"/>
    <row r="972" hidden="1" x14ac:dyDescent="0.3"/>
    <row r="973" hidden="1" x14ac:dyDescent="0.3"/>
    <row r="974" hidden="1" x14ac:dyDescent="0.3"/>
    <row r="975" hidden="1" x14ac:dyDescent="0.3"/>
    <row r="976" hidden="1" x14ac:dyDescent="0.3"/>
    <row r="977" hidden="1" x14ac:dyDescent="0.3"/>
    <row r="978" hidden="1" x14ac:dyDescent="0.3"/>
    <row r="979" hidden="1" x14ac:dyDescent="0.3"/>
    <row r="980" hidden="1" x14ac:dyDescent="0.3"/>
    <row r="981" hidden="1" x14ac:dyDescent="0.3"/>
    <row r="982" hidden="1" x14ac:dyDescent="0.3"/>
    <row r="983" hidden="1" x14ac:dyDescent="0.3"/>
    <row r="984" hidden="1" x14ac:dyDescent="0.3"/>
    <row r="985" hidden="1" x14ac:dyDescent="0.3"/>
    <row r="986" hidden="1" x14ac:dyDescent="0.3"/>
    <row r="987" hidden="1" x14ac:dyDescent="0.3"/>
    <row r="988" hidden="1" x14ac:dyDescent="0.3"/>
    <row r="989" hidden="1" x14ac:dyDescent="0.3"/>
    <row r="990" hidden="1" x14ac:dyDescent="0.3"/>
    <row r="991" hidden="1" x14ac:dyDescent="0.3"/>
    <row r="992" hidden="1" x14ac:dyDescent="0.3"/>
    <row r="993" hidden="1" x14ac:dyDescent="0.3"/>
    <row r="994" hidden="1" x14ac:dyDescent="0.3"/>
    <row r="995" hidden="1" x14ac:dyDescent="0.3"/>
    <row r="996" hidden="1" x14ac:dyDescent="0.3"/>
    <row r="997" hidden="1" x14ac:dyDescent="0.3"/>
    <row r="998" hidden="1" x14ac:dyDescent="0.3"/>
    <row r="999" hidden="1" x14ac:dyDescent="0.3"/>
    <row r="1000" hidden="1" x14ac:dyDescent="0.3"/>
    <row r="1001" hidden="1" x14ac:dyDescent="0.3"/>
    <row r="1002" hidden="1" x14ac:dyDescent="0.3"/>
    <row r="1003" hidden="1" x14ac:dyDescent="0.3"/>
    <row r="1004" hidden="1" x14ac:dyDescent="0.3"/>
    <row r="1005" hidden="1" x14ac:dyDescent="0.3"/>
    <row r="1006" hidden="1" x14ac:dyDescent="0.3"/>
    <row r="1007" hidden="1" x14ac:dyDescent="0.3"/>
    <row r="1008" hidden="1" x14ac:dyDescent="0.3"/>
    <row r="1009" hidden="1" x14ac:dyDescent="0.3"/>
    <row r="1010" hidden="1" x14ac:dyDescent="0.3"/>
    <row r="1011" hidden="1" x14ac:dyDescent="0.3"/>
    <row r="1012" hidden="1" x14ac:dyDescent="0.3"/>
    <row r="1013" hidden="1" x14ac:dyDescent="0.3"/>
    <row r="1014" hidden="1" x14ac:dyDescent="0.3"/>
    <row r="1015" hidden="1" x14ac:dyDescent="0.3"/>
    <row r="1016" hidden="1" x14ac:dyDescent="0.3"/>
    <row r="1017" hidden="1" x14ac:dyDescent="0.3"/>
    <row r="1018" hidden="1" x14ac:dyDescent="0.3"/>
    <row r="1019" hidden="1" x14ac:dyDescent="0.3"/>
    <row r="1020" hidden="1" x14ac:dyDescent="0.3"/>
    <row r="1021" hidden="1" x14ac:dyDescent="0.3"/>
    <row r="1022" hidden="1" x14ac:dyDescent="0.3"/>
    <row r="1023" hidden="1" x14ac:dyDescent="0.3"/>
    <row r="1024" hidden="1" x14ac:dyDescent="0.3"/>
    <row r="1025" hidden="1" x14ac:dyDescent="0.3"/>
    <row r="1026" hidden="1" x14ac:dyDescent="0.3"/>
    <row r="1027" hidden="1" x14ac:dyDescent="0.3"/>
    <row r="1028" hidden="1" x14ac:dyDescent="0.3"/>
    <row r="1029" hidden="1" x14ac:dyDescent="0.3"/>
    <row r="1030" hidden="1" x14ac:dyDescent="0.3"/>
    <row r="1031" hidden="1" x14ac:dyDescent="0.3"/>
    <row r="1032" hidden="1" x14ac:dyDescent="0.3"/>
    <row r="1033" hidden="1" x14ac:dyDescent="0.3"/>
    <row r="1034" hidden="1" x14ac:dyDescent="0.3"/>
    <row r="1035" hidden="1" x14ac:dyDescent="0.3"/>
    <row r="1036" hidden="1" x14ac:dyDescent="0.3"/>
    <row r="1037" hidden="1" x14ac:dyDescent="0.3"/>
    <row r="1038" hidden="1" x14ac:dyDescent="0.3"/>
    <row r="1039" hidden="1" x14ac:dyDescent="0.3"/>
    <row r="1040" hidden="1" x14ac:dyDescent="0.3"/>
    <row r="1041" hidden="1" x14ac:dyDescent="0.3"/>
    <row r="1042" hidden="1" x14ac:dyDescent="0.3"/>
    <row r="1043" hidden="1" x14ac:dyDescent="0.3"/>
    <row r="1044" hidden="1" x14ac:dyDescent="0.3"/>
    <row r="1045" hidden="1" x14ac:dyDescent="0.3"/>
    <row r="1046" hidden="1" x14ac:dyDescent="0.3"/>
    <row r="1047" hidden="1" x14ac:dyDescent="0.3"/>
    <row r="1048" hidden="1" x14ac:dyDescent="0.3"/>
    <row r="1049" hidden="1" x14ac:dyDescent="0.3"/>
    <row r="1050" hidden="1" x14ac:dyDescent="0.3"/>
    <row r="1051" hidden="1" x14ac:dyDescent="0.3"/>
    <row r="1052" hidden="1" x14ac:dyDescent="0.3"/>
    <row r="1053" hidden="1" x14ac:dyDescent="0.3"/>
    <row r="1054" hidden="1" x14ac:dyDescent="0.3"/>
    <row r="1055" hidden="1" x14ac:dyDescent="0.3"/>
    <row r="1056" hidden="1" x14ac:dyDescent="0.3"/>
    <row r="1057" hidden="1" x14ac:dyDescent="0.3"/>
    <row r="1058" hidden="1" x14ac:dyDescent="0.3"/>
    <row r="1059" hidden="1" x14ac:dyDescent="0.3"/>
    <row r="1060" hidden="1" x14ac:dyDescent="0.3"/>
    <row r="1061" hidden="1" x14ac:dyDescent="0.3"/>
    <row r="1062" hidden="1" x14ac:dyDescent="0.3"/>
    <row r="1063" hidden="1" x14ac:dyDescent="0.3"/>
    <row r="1064" hidden="1" x14ac:dyDescent="0.3"/>
    <row r="1065" hidden="1" x14ac:dyDescent="0.3"/>
    <row r="1066" hidden="1" x14ac:dyDescent="0.3"/>
    <row r="1067" hidden="1" x14ac:dyDescent="0.3"/>
    <row r="1068" hidden="1" x14ac:dyDescent="0.3"/>
    <row r="1069" hidden="1" x14ac:dyDescent="0.3"/>
    <row r="1070" hidden="1" x14ac:dyDescent="0.3"/>
    <row r="1071" hidden="1" x14ac:dyDescent="0.3"/>
    <row r="1072" hidden="1" x14ac:dyDescent="0.3"/>
    <row r="1073" hidden="1" x14ac:dyDescent="0.3"/>
    <row r="1074" hidden="1" x14ac:dyDescent="0.3"/>
    <row r="1075" hidden="1" x14ac:dyDescent="0.3"/>
    <row r="1076" hidden="1" x14ac:dyDescent="0.3"/>
    <row r="1077" hidden="1" x14ac:dyDescent="0.3"/>
    <row r="1078" hidden="1" x14ac:dyDescent="0.3"/>
    <row r="1079" hidden="1" x14ac:dyDescent="0.3"/>
    <row r="1080" hidden="1" x14ac:dyDescent="0.3"/>
    <row r="1081" hidden="1" x14ac:dyDescent="0.3"/>
    <row r="1082" hidden="1" x14ac:dyDescent="0.3"/>
    <row r="1083" hidden="1" x14ac:dyDescent="0.3"/>
    <row r="1084" hidden="1" x14ac:dyDescent="0.3"/>
    <row r="1085" hidden="1" x14ac:dyDescent="0.3"/>
    <row r="1086" hidden="1" x14ac:dyDescent="0.3"/>
    <row r="1087" hidden="1" x14ac:dyDescent="0.3"/>
    <row r="1088" hidden="1" x14ac:dyDescent="0.3"/>
    <row r="1089" hidden="1" x14ac:dyDescent="0.3"/>
    <row r="1090" hidden="1" x14ac:dyDescent="0.3"/>
    <row r="1091" hidden="1" x14ac:dyDescent="0.3"/>
    <row r="1092" hidden="1" x14ac:dyDescent="0.3"/>
    <row r="1093" hidden="1" x14ac:dyDescent="0.3"/>
    <row r="1094" hidden="1" x14ac:dyDescent="0.3"/>
    <row r="1095" hidden="1" x14ac:dyDescent="0.3"/>
    <row r="1096" hidden="1" x14ac:dyDescent="0.3"/>
    <row r="1097" hidden="1" x14ac:dyDescent="0.3"/>
    <row r="1098" hidden="1" x14ac:dyDescent="0.3"/>
    <row r="1099" hidden="1" x14ac:dyDescent="0.3"/>
    <row r="1100" hidden="1" x14ac:dyDescent="0.3"/>
    <row r="1101" hidden="1" x14ac:dyDescent="0.3"/>
    <row r="1102" hidden="1" x14ac:dyDescent="0.3"/>
    <row r="1103" hidden="1" x14ac:dyDescent="0.3"/>
    <row r="1104" hidden="1" x14ac:dyDescent="0.3"/>
    <row r="1105" hidden="1" x14ac:dyDescent="0.3"/>
    <row r="1106" hidden="1" x14ac:dyDescent="0.3"/>
    <row r="1107" hidden="1" x14ac:dyDescent="0.3"/>
    <row r="1108" hidden="1" x14ac:dyDescent="0.3"/>
    <row r="1109" hidden="1" x14ac:dyDescent="0.3"/>
    <row r="1110" hidden="1" x14ac:dyDescent="0.3"/>
    <row r="1111" hidden="1" x14ac:dyDescent="0.3"/>
    <row r="1112" hidden="1" x14ac:dyDescent="0.3"/>
    <row r="1113" hidden="1" x14ac:dyDescent="0.3"/>
    <row r="1114" hidden="1" x14ac:dyDescent="0.3"/>
    <row r="1115" hidden="1" x14ac:dyDescent="0.3"/>
    <row r="1116" hidden="1" x14ac:dyDescent="0.3"/>
    <row r="1117" hidden="1" x14ac:dyDescent="0.3"/>
    <row r="1118" hidden="1" x14ac:dyDescent="0.3"/>
    <row r="1119" hidden="1" x14ac:dyDescent="0.3"/>
    <row r="1120" hidden="1" x14ac:dyDescent="0.3"/>
    <row r="1121" hidden="1" x14ac:dyDescent="0.3"/>
    <row r="1122" hidden="1" x14ac:dyDescent="0.3"/>
    <row r="1123" hidden="1" x14ac:dyDescent="0.3"/>
    <row r="1124" hidden="1" x14ac:dyDescent="0.3"/>
    <row r="1125" hidden="1" x14ac:dyDescent="0.3"/>
    <row r="1126" hidden="1" x14ac:dyDescent="0.3"/>
    <row r="1127" hidden="1" x14ac:dyDescent="0.3"/>
    <row r="1128" hidden="1" x14ac:dyDescent="0.3"/>
    <row r="1129" hidden="1" x14ac:dyDescent="0.3"/>
    <row r="1130" hidden="1" x14ac:dyDescent="0.3"/>
    <row r="1131" hidden="1" x14ac:dyDescent="0.3"/>
    <row r="1132" hidden="1" x14ac:dyDescent="0.3"/>
    <row r="1133" hidden="1" x14ac:dyDescent="0.3"/>
    <row r="1134" hidden="1" x14ac:dyDescent="0.3"/>
    <row r="1135" hidden="1" x14ac:dyDescent="0.3"/>
    <row r="1136" hidden="1" x14ac:dyDescent="0.3"/>
    <row r="1137" hidden="1" x14ac:dyDescent="0.3"/>
    <row r="1138" hidden="1" x14ac:dyDescent="0.3"/>
    <row r="1139" hidden="1" x14ac:dyDescent="0.3"/>
    <row r="1140" hidden="1" x14ac:dyDescent="0.3"/>
    <row r="1141" hidden="1" x14ac:dyDescent="0.3"/>
    <row r="1142" hidden="1" x14ac:dyDescent="0.3"/>
    <row r="1143" hidden="1" x14ac:dyDescent="0.3"/>
    <row r="1144" hidden="1" x14ac:dyDescent="0.3"/>
    <row r="1145" hidden="1" x14ac:dyDescent="0.3"/>
    <row r="1146" hidden="1" x14ac:dyDescent="0.3"/>
    <row r="1147" hidden="1" x14ac:dyDescent="0.3"/>
    <row r="1148" hidden="1" x14ac:dyDescent="0.3"/>
    <row r="1149" hidden="1" x14ac:dyDescent="0.3"/>
    <row r="1150" hidden="1" x14ac:dyDescent="0.3"/>
    <row r="1151" hidden="1" x14ac:dyDescent="0.3"/>
    <row r="1152" hidden="1" x14ac:dyDescent="0.3"/>
    <row r="1153" hidden="1" x14ac:dyDescent="0.3"/>
    <row r="1154" hidden="1" x14ac:dyDescent="0.3"/>
    <row r="1155" hidden="1" x14ac:dyDescent="0.3"/>
    <row r="1156" hidden="1" x14ac:dyDescent="0.3"/>
    <row r="1157" hidden="1" x14ac:dyDescent="0.3"/>
    <row r="1158" hidden="1" x14ac:dyDescent="0.3"/>
    <row r="1159" hidden="1" x14ac:dyDescent="0.3"/>
    <row r="1160" hidden="1" x14ac:dyDescent="0.3"/>
    <row r="1161" hidden="1" x14ac:dyDescent="0.3"/>
    <row r="1162" hidden="1" x14ac:dyDescent="0.3"/>
    <row r="1163" hidden="1" x14ac:dyDescent="0.3"/>
    <row r="1164" hidden="1" x14ac:dyDescent="0.3"/>
    <row r="1165" hidden="1" x14ac:dyDescent="0.3"/>
    <row r="1166" hidden="1" x14ac:dyDescent="0.3"/>
    <row r="1167" hidden="1" x14ac:dyDescent="0.3"/>
    <row r="1168" hidden="1" x14ac:dyDescent="0.3"/>
    <row r="1169" hidden="1" x14ac:dyDescent="0.3"/>
    <row r="1170" hidden="1" x14ac:dyDescent="0.3"/>
    <row r="1171" hidden="1" x14ac:dyDescent="0.3"/>
    <row r="1172" hidden="1" x14ac:dyDescent="0.3"/>
    <row r="1173" hidden="1" x14ac:dyDescent="0.3"/>
    <row r="1174" hidden="1" x14ac:dyDescent="0.3"/>
    <row r="1175" hidden="1" x14ac:dyDescent="0.3"/>
    <row r="1176" hidden="1" x14ac:dyDescent="0.3"/>
    <row r="1177" hidden="1" x14ac:dyDescent="0.3"/>
    <row r="1178" hidden="1" x14ac:dyDescent="0.3"/>
    <row r="1179" hidden="1" x14ac:dyDescent="0.3"/>
    <row r="1180" hidden="1" x14ac:dyDescent="0.3"/>
    <row r="1181" hidden="1" x14ac:dyDescent="0.3"/>
    <row r="1182" hidden="1" x14ac:dyDescent="0.3"/>
    <row r="1183" hidden="1" x14ac:dyDescent="0.3"/>
    <row r="1184" hidden="1" x14ac:dyDescent="0.3"/>
    <row r="1185" hidden="1" x14ac:dyDescent="0.3"/>
    <row r="1186" hidden="1" x14ac:dyDescent="0.3"/>
    <row r="1187" hidden="1" x14ac:dyDescent="0.3"/>
    <row r="1188" hidden="1" x14ac:dyDescent="0.3"/>
    <row r="1189" hidden="1" x14ac:dyDescent="0.3"/>
    <row r="1190" hidden="1" x14ac:dyDescent="0.3"/>
    <row r="1191" hidden="1" x14ac:dyDescent="0.3"/>
    <row r="1192" hidden="1" x14ac:dyDescent="0.3"/>
    <row r="1193" hidden="1" x14ac:dyDescent="0.3"/>
    <row r="1194" hidden="1" x14ac:dyDescent="0.3"/>
    <row r="1195" hidden="1" x14ac:dyDescent="0.3"/>
    <row r="1196" hidden="1" x14ac:dyDescent="0.3"/>
    <row r="1197" hidden="1" x14ac:dyDescent="0.3"/>
    <row r="1198" hidden="1" x14ac:dyDescent="0.3"/>
    <row r="1199" hidden="1" x14ac:dyDescent="0.3"/>
    <row r="1200" hidden="1" x14ac:dyDescent="0.3"/>
    <row r="1201" hidden="1" x14ac:dyDescent="0.3"/>
    <row r="1202" hidden="1" x14ac:dyDescent="0.3"/>
    <row r="1203" hidden="1" x14ac:dyDescent="0.3"/>
    <row r="1204" hidden="1" x14ac:dyDescent="0.3"/>
    <row r="1205" hidden="1" x14ac:dyDescent="0.3"/>
    <row r="1206" hidden="1" x14ac:dyDescent="0.3"/>
    <row r="1207" hidden="1" x14ac:dyDescent="0.3"/>
    <row r="1208" hidden="1" x14ac:dyDescent="0.3"/>
    <row r="1209" hidden="1" x14ac:dyDescent="0.3"/>
    <row r="1210" hidden="1" x14ac:dyDescent="0.3"/>
    <row r="1211" hidden="1" x14ac:dyDescent="0.3"/>
    <row r="1212" hidden="1" x14ac:dyDescent="0.3"/>
    <row r="1213" hidden="1" x14ac:dyDescent="0.3"/>
    <row r="1214" hidden="1" x14ac:dyDescent="0.3"/>
    <row r="1215" hidden="1" x14ac:dyDescent="0.3"/>
    <row r="1216" hidden="1" x14ac:dyDescent="0.3"/>
    <row r="1217" hidden="1" x14ac:dyDescent="0.3"/>
    <row r="1218" hidden="1" x14ac:dyDescent="0.3"/>
    <row r="1219" hidden="1" x14ac:dyDescent="0.3"/>
    <row r="1220" hidden="1" x14ac:dyDescent="0.3"/>
    <row r="1221" hidden="1" x14ac:dyDescent="0.3"/>
    <row r="1222" hidden="1" x14ac:dyDescent="0.3"/>
    <row r="1223" hidden="1" x14ac:dyDescent="0.3"/>
    <row r="1224" hidden="1" x14ac:dyDescent="0.3"/>
    <row r="1225" hidden="1" x14ac:dyDescent="0.3"/>
    <row r="1226" hidden="1" x14ac:dyDescent="0.3"/>
    <row r="1227" hidden="1" x14ac:dyDescent="0.3"/>
    <row r="1228" hidden="1" x14ac:dyDescent="0.3"/>
    <row r="1229" hidden="1" x14ac:dyDescent="0.3"/>
    <row r="1230" hidden="1" x14ac:dyDescent="0.3"/>
    <row r="1231" hidden="1" x14ac:dyDescent="0.3"/>
    <row r="1232" hidden="1" x14ac:dyDescent="0.3"/>
    <row r="1233" hidden="1" x14ac:dyDescent="0.3"/>
    <row r="1234" hidden="1" x14ac:dyDescent="0.3"/>
    <row r="1235" hidden="1" x14ac:dyDescent="0.3"/>
    <row r="1236" hidden="1" x14ac:dyDescent="0.3"/>
    <row r="1237" hidden="1" x14ac:dyDescent="0.3"/>
    <row r="1238" hidden="1" x14ac:dyDescent="0.3"/>
    <row r="1239" hidden="1" x14ac:dyDescent="0.3"/>
    <row r="1240" hidden="1" x14ac:dyDescent="0.3"/>
    <row r="1241" hidden="1" x14ac:dyDescent="0.3"/>
    <row r="1242" hidden="1" x14ac:dyDescent="0.3"/>
    <row r="1243" hidden="1" x14ac:dyDescent="0.3"/>
    <row r="1244" hidden="1" x14ac:dyDescent="0.3"/>
    <row r="1245" hidden="1" x14ac:dyDescent="0.3"/>
    <row r="1246" hidden="1" x14ac:dyDescent="0.3"/>
    <row r="1247" hidden="1" x14ac:dyDescent="0.3"/>
    <row r="1248" hidden="1" x14ac:dyDescent="0.3"/>
    <row r="1249" hidden="1" x14ac:dyDescent="0.3"/>
    <row r="1250" hidden="1" x14ac:dyDescent="0.3"/>
    <row r="1251" hidden="1" x14ac:dyDescent="0.3"/>
    <row r="1252" hidden="1" x14ac:dyDescent="0.3"/>
    <row r="1253" hidden="1" x14ac:dyDescent="0.3"/>
    <row r="1254" hidden="1" x14ac:dyDescent="0.3"/>
    <row r="1255" hidden="1" x14ac:dyDescent="0.3"/>
    <row r="1256" hidden="1" x14ac:dyDescent="0.3"/>
    <row r="1257" hidden="1" x14ac:dyDescent="0.3"/>
    <row r="1258" hidden="1" x14ac:dyDescent="0.3"/>
    <row r="1259" hidden="1" x14ac:dyDescent="0.3"/>
    <row r="1260" hidden="1" x14ac:dyDescent="0.3"/>
    <row r="1261" hidden="1" x14ac:dyDescent="0.3"/>
    <row r="1262" hidden="1" x14ac:dyDescent="0.3"/>
    <row r="1263" hidden="1" x14ac:dyDescent="0.3"/>
    <row r="1264" hidden="1" x14ac:dyDescent="0.3"/>
    <row r="1265" hidden="1" x14ac:dyDescent="0.3"/>
    <row r="1266" hidden="1" x14ac:dyDescent="0.3"/>
    <row r="1267" hidden="1" x14ac:dyDescent="0.3"/>
    <row r="1268" hidden="1" x14ac:dyDescent="0.3"/>
    <row r="1269" hidden="1" x14ac:dyDescent="0.3"/>
    <row r="1270" hidden="1" x14ac:dyDescent="0.3"/>
    <row r="1271" hidden="1" x14ac:dyDescent="0.3"/>
    <row r="1272" hidden="1" x14ac:dyDescent="0.3"/>
    <row r="1273" hidden="1" x14ac:dyDescent="0.3"/>
    <row r="1274" hidden="1" x14ac:dyDescent="0.3"/>
    <row r="1275" hidden="1" x14ac:dyDescent="0.3"/>
    <row r="1276" hidden="1" x14ac:dyDescent="0.3"/>
    <row r="1277" hidden="1" x14ac:dyDescent="0.3"/>
    <row r="1278" hidden="1" x14ac:dyDescent="0.3"/>
    <row r="1279" hidden="1" x14ac:dyDescent="0.3"/>
    <row r="1280" hidden="1" x14ac:dyDescent="0.3"/>
    <row r="1281" hidden="1" x14ac:dyDescent="0.3"/>
    <row r="1282" hidden="1" x14ac:dyDescent="0.3"/>
    <row r="1283" hidden="1" x14ac:dyDescent="0.3"/>
    <row r="1284" hidden="1" x14ac:dyDescent="0.3"/>
    <row r="1285" hidden="1" x14ac:dyDescent="0.3"/>
    <row r="1286" hidden="1" x14ac:dyDescent="0.3"/>
    <row r="1287" hidden="1" x14ac:dyDescent="0.3"/>
    <row r="1288" hidden="1" x14ac:dyDescent="0.3"/>
    <row r="1289" hidden="1" x14ac:dyDescent="0.3"/>
    <row r="1290" hidden="1" x14ac:dyDescent="0.3"/>
    <row r="1291" hidden="1" x14ac:dyDescent="0.3"/>
    <row r="1292" hidden="1" x14ac:dyDescent="0.3"/>
    <row r="1293" hidden="1" x14ac:dyDescent="0.3"/>
    <row r="1294" hidden="1" x14ac:dyDescent="0.3"/>
    <row r="1295" hidden="1" x14ac:dyDescent="0.3"/>
    <row r="1296" hidden="1" x14ac:dyDescent="0.3"/>
    <row r="1297" hidden="1" x14ac:dyDescent="0.3"/>
    <row r="1298" hidden="1" x14ac:dyDescent="0.3"/>
    <row r="1299" hidden="1" x14ac:dyDescent="0.3"/>
    <row r="1300" hidden="1" x14ac:dyDescent="0.3"/>
    <row r="1301" hidden="1" x14ac:dyDescent="0.3"/>
    <row r="1302" hidden="1" x14ac:dyDescent="0.3"/>
    <row r="1303" hidden="1" x14ac:dyDescent="0.3"/>
    <row r="1304" hidden="1" x14ac:dyDescent="0.3"/>
    <row r="1305" hidden="1" x14ac:dyDescent="0.3"/>
    <row r="1306" hidden="1" x14ac:dyDescent="0.3"/>
    <row r="1307" hidden="1" x14ac:dyDescent="0.3"/>
    <row r="1308" hidden="1" x14ac:dyDescent="0.3"/>
    <row r="1309" hidden="1" x14ac:dyDescent="0.3"/>
    <row r="1310" hidden="1" x14ac:dyDescent="0.3"/>
    <row r="1311" hidden="1" x14ac:dyDescent="0.3"/>
    <row r="1312" hidden="1" x14ac:dyDescent="0.3"/>
    <row r="1313" hidden="1" x14ac:dyDescent="0.3"/>
    <row r="1314" hidden="1" x14ac:dyDescent="0.3"/>
    <row r="1315" hidden="1" x14ac:dyDescent="0.3"/>
    <row r="1316" hidden="1" x14ac:dyDescent="0.3"/>
    <row r="1317" hidden="1" x14ac:dyDescent="0.3"/>
    <row r="1318" hidden="1" x14ac:dyDescent="0.3"/>
    <row r="1319" hidden="1" x14ac:dyDescent="0.3"/>
    <row r="1320" hidden="1" x14ac:dyDescent="0.3"/>
    <row r="1321" hidden="1" x14ac:dyDescent="0.3"/>
    <row r="1322" hidden="1" x14ac:dyDescent="0.3"/>
    <row r="1323" hidden="1" x14ac:dyDescent="0.3"/>
    <row r="1324" hidden="1" x14ac:dyDescent="0.3"/>
    <row r="1325" hidden="1" x14ac:dyDescent="0.3"/>
    <row r="1326" hidden="1" x14ac:dyDescent="0.3"/>
    <row r="1327" hidden="1" x14ac:dyDescent="0.3"/>
    <row r="1328" hidden="1" x14ac:dyDescent="0.3"/>
    <row r="1329" hidden="1" x14ac:dyDescent="0.3"/>
    <row r="1330" hidden="1" x14ac:dyDescent="0.3"/>
    <row r="1331" hidden="1" x14ac:dyDescent="0.3"/>
    <row r="1332" hidden="1" x14ac:dyDescent="0.3"/>
    <row r="1333" hidden="1" x14ac:dyDescent="0.3"/>
    <row r="1334" hidden="1" x14ac:dyDescent="0.3"/>
    <row r="1335" hidden="1" x14ac:dyDescent="0.3"/>
    <row r="1336" hidden="1" x14ac:dyDescent="0.3"/>
    <row r="1337" hidden="1" x14ac:dyDescent="0.3"/>
    <row r="1338" hidden="1" x14ac:dyDescent="0.3"/>
    <row r="1339" hidden="1" x14ac:dyDescent="0.3"/>
    <row r="1340" hidden="1" x14ac:dyDescent="0.3"/>
    <row r="1341" hidden="1" x14ac:dyDescent="0.3"/>
    <row r="1342" hidden="1" x14ac:dyDescent="0.3"/>
    <row r="1343" hidden="1" x14ac:dyDescent="0.3"/>
    <row r="1344" hidden="1" x14ac:dyDescent="0.3"/>
    <row r="1345" hidden="1" x14ac:dyDescent="0.3"/>
    <row r="1346" hidden="1" x14ac:dyDescent="0.3"/>
    <row r="1347" hidden="1" x14ac:dyDescent="0.3"/>
    <row r="1348" hidden="1" x14ac:dyDescent="0.3"/>
    <row r="1349" hidden="1" x14ac:dyDescent="0.3"/>
    <row r="1350" hidden="1" x14ac:dyDescent="0.3"/>
    <row r="1351" hidden="1" x14ac:dyDescent="0.3"/>
    <row r="1352" hidden="1" x14ac:dyDescent="0.3"/>
    <row r="1353" hidden="1" x14ac:dyDescent="0.3"/>
    <row r="1354" hidden="1" x14ac:dyDescent="0.3"/>
    <row r="1355" hidden="1" x14ac:dyDescent="0.3"/>
    <row r="1356" hidden="1" x14ac:dyDescent="0.3"/>
    <row r="1357" hidden="1" x14ac:dyDescent="0.3"/>
    <row r="1358" hidden="1" x14ac:dyDescent="0.3"/>
    <row r="1359" hidden="1" x14ac:dyDescent="0.3"/>
    <row r="1360" hidden="1" x14ac:dyDescent="0.3"/>
    <row r="1361" hidden="1" x14ac:dyDescent="0.3"/>
    <row r="1362" hidden="1" x14ac:dyDescent="0.3"/>
    <row r="1363" hidden="1" x14ac:dyDescent="0.3"/>
    <row r="1364" hidden="1" x14ac:dyDescent="0.3"/>
    <row r="1365" hidden="1" x14ac:dyDescent="0.3"/>
    <row r="1366" hidden="1" x14ac:dyDescent="0.3"/>
    <row r="1367" hidden="1" x14ac:dyDescent="0.3"/>
    <row r="1368" hidden="1" x14ac:dyDescent="0.3"/>
    <row r="1369" hidden="1" x14ac:dyDescent="0.3"/>
    <row r="1370" hidden="1" x14ac:dyDescent="0.3"/>
    <row r="1371" hidden="1" x14ac:dyDescent="0.3"/>
    <row r="1372" hidden="1" x14ac:dyDescent="0.3"/>
    <row r="1373" hidden="1" x14ac:dyDescent="0.3"/>
    <row r="1374" hidden="1" x14ac:dyDescent="0.3"/>
    <row r="1375" hidden="1" x14ac:dyDescent="0.3"/>
    <row r="1376" hidden="1" x14ac:dyDescent="0.3"/>
    <row r="1377" hidden="1" x14ac:dyDescent="0.3"/>
    <row r="1378" hidden="1" x14ac:dyDescent="0.3"/>
    <row r="1379" hidden="1" x14ac:dyDescent="0.3"/>
    <row r="1380" hidden="1" x14ac:dyDescent="0.3"/>
    <row r="1381" hidden="1" x14ac:dyDescent="0.3"/>
    <row r="1382" hidden="1" x14ac:dyDescent="0.3"/>
    <row r="1383" hidden="1" x14ac:dyDescent="0.3"/>
    <row r="1384" hidden="1" x14ac:dyDescent="0.3"/>
    <row r="1385" hidden="1" x14ac:dyDescent="0.3"/>
    <row r="1386" hidden="1" x14ac:dyDescent="0.3"/>
    <row r="1387" hidden="1" x14ac:dyDescent="0.3"/>
    <row r="1388" hidden="1" x14ac:dyDescent="0.3"/>
    <row r="1389" hidden="1" x14ac:dyDescent="0.3"/>
    <row r="1390" hidden="1" x14ac:dyDescent="0.3"/>
    <row r="1391" hidden="1" x14ac:dyDescent="0.3"/>
    <row r="1392" hidden="1" x14ac:dyDescent="0.3"/>
    <row r="1393" hidden="1" x14ac:dyDescent="0.3"/>
    <row r="1394" hidden="1" x14ac:dyDescent="0.3"/>
    <row r="1395" hidden="1" x14ac:dyDescent="0.3"/>
    <row r="1396" hidden="1" x14ac:dyDescent="0.3"/>
    <row r="1397" hidden="1" x14ac:dyDescent="0.3"/>
    <row r="1398" hidden="1" x14ac:dyDescent="0.3"/>
    <row r="1399" hidden="1" x14ac:dyDescent="0.3"/>
    <row r="1400" hidden="1" x14ac:dyDescent="0.3"/>
    <row r="1401" hidden="1" x14ac:dyDescent="0.3"/>
    <row r="1402" hidden="1" x14ac:dyDescent="0.3"/>
    <row r="1403" hidden="1" x14ac:dyDescent="0.3"/>
    <row r="1404" hidden="1" x14ac:dyDescent="0.3"/>
    <row r="1405" hidden="1" x14ac:dyDescent="0.3"/>
    <row r="1406" hidden="1" x14ac:dyDescent="0.3"/>
    <row r="1407" hidden="1" x14ac:dyDescent="0.3"/>
    <row r="1408" hidden="1" x14ac:dyDescent="0.3"/>
    <row r="1409" hidden="1" x14ac:dyDescent="0.3"/>
    <row r="1410" hidden="1" x14ac:dyDescent="0.3"/>
    <row r="1411" hidden="1" x14ac:dyDescent="0.3"/>
    <row r="1412" hidden="1" x14ac:dyDescent="0.3"/>
    <row r="1413" hidden="1" x14ac:dyDescent="0.3"/>
    <row r="1414" hidden="1" x14ac:dyDescent="0.3"/>
    <row r="1415" hidden="1" x14ac:dyDescent="0.3"/>
    <row r="1416" hidden="1" x14ac:dyDescent="0.3"/>
    <row r="1417" hidden="1" x14ac:dyDescent="0.3"/>
    <row r="1418" hidden="1" x14ac:dyDescent="0.3"/>
    <row r="1419" hidden="1" x14ac:dyDescent="0.3"/>
    <row r="1420" hidden="1" x14ac:dyDescent="0.3"/>
    <row r="1421" hidden="1" x14ac:dyDescent="0.3"/>
    <row r="1422" hidden="1" x14ac:dyDescent="0.3"/>
    <row r="1423" hidden="1" x14ac:dyDescent="0.3"/>
    <row r="1424" hidden="1" x14ac:dyDescent="0.3"/>
    <row r="1425" hidden="1" x14ac:dyDescent="0.3"/>
    <row r="1426" hidden="1" x14ac:dyDescent="0.3"/>
    <row r="1427" hidden="1" x14ac:dyDescent="0.3"/>
    <row r="1428" hidden="1" x14ac:dyDescent="0.3"/>
    <row r="1429" hidden="1" x14ac:dyDescent="0.3"/>
    <row r="1430" hidden="1" x14ac:dyDescent="0.3"/>
    <row r="1431" hidden="1" x14ac:dyDescent="0.3"/>
    <row r="1432" hidden="1" x14ac:dyDescent="0.3"/>
    <row r="1433" hidden="1" x14ac:dyDescent="0.3"/>
    <row r="1434" hidden="1" x14ac:dyDescent="0.3"/>
    <row r="1435" hidden="1" x14ac:dyDescent="0.3"/>
    <row r="1436" hidden="1" x14ac:dyDescent="0.3"/>
    <row r="1437" hidden="1" x14ac:dyDescent="0.3"/>
    <row r="1438" hidden="1" x14ac:dyDescent="0.3"/>
    <row r="1439" hidden="1" x14ac:dyDescent="0.3"/>
    <row r="1440" hidden="1" x14ac:dyDescent="0.3"/>
    <row r="1441" hidden="1" x14ac:dyDescent="0.3"/>
    <row r="1442" hidden="1" x14ac:dyDescent="0.3"/>
    <row r="1443" hidden="1" x14ac:dyDescent="0.3"/>
    <row r="1444" hidden="1" x14ac:dyDescent="0.3"/>
    <row r="1445" hidden="1" x14ac:dyDescent="0.3"/>
    <row r="1446" hidden="1" x14ac:dyDescent="0.3"/>
    <row r="1447" hidden="1" x14ac:dyDescent="0.3"/>
    <row r="1448" hidden="1" x14ac:dyDescent="0.3"/>
    <row r="1449" hidden="1" x14ac:dyDescent="0.3"/>
    <row r="1450" hidden="1" x14ac:dyDescent="0.3"/>
    <row r="1451" hidden="1" x14ac:dyDescent="0.3"/>
    <row r="1452" hidden="1" x14ac:dyDescent="0.3"/>
    <row r="1453" hidden="1" x14ac:dyDescent="0.3"/>
    <row r="1454" hidden="1" x14ac:dyDescent="0.3"/>
    <row r="1455" hidden="1" x14ac:dyDescent="0.3"/>
    <row r="1456" hidden="1" x14ac:dyDescent="0.3"/>
    <row r="1457" hidden="1" x14ac:dyDescent="0.3"/>
    <row r="1458" hidden="1" x14ac:dyDescent="0.3"/>
    <row r="1459" hidden="1" x14ac:dyDescent="0.3"/>
    <row r="1460" hidden="1" x14ac:dyDescent="0.3"/>
    <row r="1461" hidden="1" x14ac:dyDescent="0.3"/>
    <row r="1462" hidden="1" x14ac:dyDescent="0.3"/>
    <row r="1463" hidden="1" x14ac:dyDescent="0.3"/>
    <row r="1464" hidden="1" x14ac:dyDescent="0.3"/>
    <row r="1465" hidden="1" x14ac:dyDescent="0.3"/>
    <row r="1466" hidden="1" x14ac:dyDescent="0.3"/>
    <row r="1467" hidden="1" x14ac:dyDescent="0.3"/>
    <row r="1468" hidden="1" x14ac:dyDescent="0.3"/>
    <row r="1469" hidden="1" x14ac:dyDescent="0.3"/>
    <row r="1470" hidden="1" x14ac:dyDescent="0.3"/>
    <row r="1471" hidden="1" x14ac:dyDescent="0.3"/>
    <row r="1472" hidden="1" x14ac:dyDescent="0.3"/>
    <row r="1473" hidden="1" x14ac:dyDescent="0.3"/>
    <row r="1474" hidden="1" x14ac:dyDescent="0.3"/>
    <row r="1475" hidden="1" x14ac:dyDescent="0.3"/>
    <row r="1476" hidden="1" x14ac:dyDescent="0.3"/>
    <row r="1477" hidden="1" x14ac:dyDescent="0.3"/>
    <row r="1478" hidden="1" x14ac:dyDescent="0.3"/>
    <row r="1479" hidden="1" x14ac:dyDescent="0.3"/>
    <row r="1480" hidden="1" x14ac:dyDescent="0.3"/>
    <row r="1481" hidden="1" x14ac:dyDescent="0.3"/>
    <row r="1482" hidden="1" x14ac:dyDescent="0.3"/>
    <row r="1483" hidden="1" x14ac:dyDescent="0.3"/>
    <row r="1484" hidden="1" x14ac:dyDescent="0.3"/>
    <row r="1485" hidden="1" x14ac:dyDescent="0.3"/>
    <row r="1486" hidden="1" x14ac:dyDescent="0.3"/>
    <row r="1487" hidden="1" x14ac:dyDescent="0.3"/>
    <row r="1488" hidden="1" x14ac:dyDescent="0.3"/>
    <row r="1489" hidden="1" x14ac:dyDescent="0.3"/>
    <row r="1490" hidden="1" x14ac:dyDescent="0.3"/>
    <row r="1491" hidden="1" x14ac:dyDescent="0.3"/>
    <row r="1492" hidden="1" x14ac:dyDescent="0.3"/>
    <row r="1493" hidden="1" x14ac:dyDescent="0.3"/>
    <row r="1494" hidden="1" x14ac:dyDescent="0.3"/>
    <row r="1495" hidden="1" x14ac:dyDescent="0.3"/>
    <row r="1496" hidden="1" x14ac:dyDescent="0.3"/>
    <row r="1497" hidden="1" x14ac:dyDescent="0.3"/>
    <row r="1498" hidden="1" x14ac:dyDescent="0.3"/>
    <row r="1499" hidden="1" x14ac:dyDescent="0.3"/>
    <row r="1500" hidden="1" x14ac:dyDescent="0.3"/>
    <row r="1501" hidden="1" x14ac:dyDescent="0.3"/>
    <row r="1502" hidden="1" x14ac:dyDescent="0.3"/>
    <row r="1503" hidden="1" x14ac:dyDescent="0.3"/>
    <row r="1504" hidden="1" x14ac:dyDescent="0.3"/>
    <row r="1505" hidden="1" x14ac:dyDescent="0.3"/>
    <row r="1506" hidden="1" x14ac:dyDescent="0.3"/>
    <row r="1507" hidden="1" x14ac:dyDescent="0.3"/>
    <row r="1508" hidden="1" x14ac:dyDescent="0.3"/>
    <row r="1509" hidden="1" x14ac:dyDescent="0.3"/>
    <row r="1510" hidden="1" x14ac:dyDescent="0.3"/>
    <row r="1511" hidden="1" x14ac:dyDescent="0.3"/>
    <row r="1512" hidden="1" x14ac:dyDescent="0.3"/>
    <row r="1513" hidden="1" x14ac:dyDescent="0.3"/>
    <row r="1514" hidden="1" x14ac:dyDescent="0.3"/>
    <row r="1515" hidden="1" x14ac:dyDescent="0.3"/>
    <row r="1516" hidden="1" x14ac:dyDescent="0.3"/>
    <row r="1517" hidden="1" x14ac:dyDescent="0.3"/>
    <row r="1518" hidden="1" x14ac:dyDescent="0.3"/>
    <row r="1519" hidden="1" x14ac:dyDescent="0.3"/>
    <row r="1520" hidden="1" x14ac:dyDescent="0.3"/>
    <row r="1521" hidden="1" x14ac:dyDescent="0.3"/>
    <row r="1522" hidden="1" x14ac:dyDescent="0.3"/>
    <row r="1523" hidden="1" x14ac:dyDescent="0.3"/>
    <row r="1524" hidden="1" x14ac:dyDescent="0.3"/>
    <row r="1525" hidden="1" x14ac:dyDescent="0.3"/>
    <row r="1526" hidden="1" x14ac:dyDescent="0.3"/>
    <row r="1527" hidden="1" x14ac:dyDescent="0.3"/>
    <row r="1528" hidden="1" x14ac:dyDescent="0.3"/>
    <row r="1529" hidden="1" x14ac:dyDescent="0.3"/>
    <row r="1530" hidden="1" x14ac:dyDescent="0.3"/>
    <row r="1531" hidden="1" x14ac:dyDescent="0.3"/>
    <row r="1532" hidden="1" x14ac:dyDescent="0.3"/>
    <row r="1533" hidden="1" x14ac:dyDescent="0.3"/>
    <row r="1534" hidden="1" x14ac:dyDescent="0.3"/>
    <row r="1535" hidden="1" x14ac:dyDescent="0.3"/>
    <row r="1536" hidden="1" x14ac:dyDescent="0.3"/>
    <row r="1537" hidden="1" x14ac:dyDescent="0.3"/>
    <row r="1538" hidden="1" x14ac:dyDescent="0.3"/>
    <row r="1539" hidden="1" x14ac:dyDescent="0.3"/>
    <row r="1540" hidden="1" x14ac:dyDescent="0.3"/>
    <row r="1541" hidden="1" x14ac:dyDescent="0.3"/>
    <row r="1542" hidden="1" x14ac:dyDescent="0.3"/>
    <row r="1543" hidden="1" x14ac:dyDescent="0.3"/>
    <row r="1544" hidden="1" x14ac:dyDescent="0.3"/>
    <row r="1545" hidden="1" x14ac:dyDescent="0.3"/>
    <row r="1546" hidden="1" x14ac:dyDescent="0.3"/>
    <row r="1547" hidden="1" x14ac:dyDescent="0.3"/>
    <row r="1548" hidden="1" x14ac:dyDescent="0.3"/>
    <row r="1549" hidden="1" x14ac:dyDescent="0.3"/>
    <row r="1550" hidden="1" x14ac:dyDescent="0.3"/>
    <row r="1551" hidden="1" x14ac:dyDescent="0.3"/>
    <row r="1552" hidden="1" x14ac:dyDescent="0.3"/>
    <row r="1553" hidden="1" x14ac:dyDescent="0.3"/>
    <row r="1554" hidden="1" x14ac:dyDescent="0.3"/>
    <row r="1555" hidden="1" x14ac:dyDescent="0.3"/>
    <row r="1556" hidden="1" x14ac:dyDescent="0.3"/>
    <row r="1557" hidden="1" x14ac:dyDescent="0.3"/>
    <row r="1558" hidden="1" x14ac:dyDescent="0.3"/>
    <row r="1559" hidden="1" x14ac:dyDescent="0.3"/>
    <row r="1560" hidden="1" x14ac:dyDescent="0.3"/>
    <row r="1561" hidden="1" x14ac:dyDescent="0.3"/>
    <row r="1562" hidden="1" x14ac:dyDescent="0.3"/>
    <row r="1563" hidden="1" x14ac:dyDescent="0.3"/>
    <row r="1564" hidden="1" x14ac:dyDescent="0.3"/>
    <row r="1565" hidden="1" x14ac:dyDescent="0.3"/>
    <row r="1566" hidden="1" x14ac:dyDescent="0.3"/>
    <row r="1567" hidden="1" x14ac:dyDescent="0.3"/>
    <row r="1568" hidden="1" x14ac:dyDescent="0.3"/>
    <row r="1569" hidden="1" x14ac:dyDescent="0.3"/>
    <row r="1570" hidden="1" x14ac:dyDescent="0.3"/>
    <row r="1571" hidden="1" x14ac:dyDescent="0.3"/>
    <row r="1572" hidden="1" x14ac:dyDescent="0.3"/>
    <row r="1573" hidden="1" x14ac:dyDescent="0.3"/>
    <row r="1574" hidden="1" x14ac:dyDescent="0.3"/>
    <row r="1575" hidden="1" x14ac:dyDescent="0.3"/>
    <row r="1576" hidden="1" x14ac:dyDescent="0.3"/>
    <row r="1577" hidden="1" x14ac:dyDescent="0.3"/>
    <row r="1578" hidden="1" x14ac:dyDescent="0.3"/>
    <row r="1579" hidden="1" x14ac:dyDescent="0.3"/>
    <row r="1580" hidden="1" x14ac:dyDescent="0.3"/>
    <row r="1581" hidden="1" x14ac:dyDescent="0.3"/>
    <row r="1582" hidden="1" x14ac:dyDescent="0.3"/>
    <row r="1583" hidden="1" x14ac:dyDescent="0.3"/>
    <row r="1584" hidden="1" x14ac:dyDescent="0.3"/>
    <row r="1585" hidden="1" x14ac:dyDescent="0.3"/>
    <row r="1586" hidden="1" x14ac:dyDescent="0.3"/>
    <row r="1587" hidden="1" x14ac:dyDescent="0.3"/>
    <row r="1588" hidden="1" x14ac:dyDescent="0.3"/>
    <row r="1589" hidden="1" x14ac:dyDescent="0.3"/>
    <row r="1590" hidden="1" x14ac:dyDescent="0.3"/>
    <row r="1591" hidden="1" x14ac:dyDescent="0.3"/>
    <row r="1592" hidden="1" x14ac:dyDescent="0.3"/>
    <row r="1593" hidden="1" x14ac:dyDescent="0.3"/>
    <row r="1594" hidden="1" x14ac:dyDescent="0.3"/>
    <row r="1595" hidden="1" x14ac:dyDescent="0.3"/>
    <row r="1596" hidden="1" x14ac:dyDescent="0.3"/>
    <row r="1597" hidden="1" x14ac:dyDescent="0.3"/>
    <row r="1598" hidden="1" x14ac:dyDescent="0.3"/>
    <row r="1599" hidden="1" x14ac:dyDescent="0.3"/>
    <row r="1600" hidden="1" x14ac:dyDescent="0.3"/>
    <row r="1601" hidden="1" x14ac:dyDescent="0.3"/>
    <row r="1602" hidden="1" x14ac:dyDescent="0.3"/>
    <row r="1603" hidden="1" x14ac:dyDescent="0.3"/>
    <row r="1604" hidden="1" x14ac:dyDescent="0.3"/>
    <row r="1605" hidden="1" x14ac:dyDescent="0.3"/>
    <row r="1606" hidden="1" x14ac:dyDescent="0.3"/>
    <row r="1607" hidden="1" x14ac:dyDescent="0.3"/>
    <row r="1608" hidden="1" x14ac:dyDescent="0.3"/>
    <row r="1609" hidden="1" x14ac:dyDescent="0.3"/>
    <row r="1610" hidden="1" x14ac:dyDescent="0.3"/>
    <row r="1611" hidden="1" x14ac:dyDescent="0.3"/>
    <row r="1612" hidden="1" x14ac:dyDescent="0.3"/>
    <row r="1613" hidden="1" x14ac:dyDescent="0.3"/>
    <row r="1614" hidden="1" x14ac:dyDescent="0.3"/>
    <row r="1615" hidden="1" x14ac:dyDescent="0.3"/>
    <row r="1616" hidden="1" x14ac:dyDescent="0.3"/>
    <row r="1617" hidden="1" x14ac:dyDescent="0.3"/>
    <row r="1618" hidden="1" x14ac:dyDescent="0.3"/>
    <row r="1619" hidden="1" x14ac:dyDescent="0.3"/>
    <row r="1620" hidden="1" x14ac:dyDescent="0.3"/>
    <row r="1621" hidden="1" x14ac:dyDescent="0.3"/>
    <row r="1622" hidden="1" x14ac:dyDescent="0.3"/>
    <row r="1623" hidden="1" x14ac:dyDescent="0.3"/>
    <row r="1624" hidden="1" x14ac:dyDescent="0.3"/>
    <row r="1625" hidden="1" x14ac:dyDescent="0.3"/>
    <row r="1626" hidden="1" x14ac:dyDescent="0.3"/>
    <row r="1627" hidden="1" x14ac:dyDescent="0.3"/>
    <row r="1628" hidden="1" x14ac:dyDescent="0.3"/>
    <row r="1629" hidden="1" x14ac:dyDescent="0.3"/>
    <row r="1630" hidden="1" x14ac:dyDescent="0.3"/>
    <row r="1631" hidden="1" x14ac:dyDescent="0.3"/>
    <row r="1632" hidden="1" x14ac:dyDescent="0.3"/>
    <row r="1633" hidden="1" x14ac:dyDescent="0.3"/>
    <row r="1634" hidden="1" x14ac:dyDescent="0.3"/>
    <row r="1635" hidden="1" x14ac:dyDescent="0.3"/>
    <row r="1636" hidden="1" x14ac:dyDescent="0.3"/>
    <row r="1637" hidden="1" x14ac:dyDescent="0.3"/>
    <row r="1638" hidden="1" x14ac:dyDescent="0.3"/>
    <row r="1639" hidden="1" x14ac:dyDescent="0.3"/>
    <row r="1640" hidden="1" x14ac:dyDescent="0.3"/>
    <row r="1641" hidden="1" x14ac:dyDescent="0.3"/>
    <row r="1642" hidden="1" x14ac:dyDescent="0.3"/>
    <row r="1643" hidden="1" x14ac:dyDescent="0.3"/>
    <row r="1644" hidden="1" x14ac:dyDescent="0.3"/>
    <row r="1645" hidden="1" x14ac:dyDescent="0.3"/>
    <row r="1646" hidden="1" x14ac:dyDescent="0.3"/>
    <row r="1647" hidden="1" x14ac:dyDescent="0.3"/>
    <row r="1648" hidden="1" x14ac:dyDescent="0.3"/>
    <row r="1649" hidden="1" x14ac:dyDescent="0.3"/>
    <row r="1650" hidden="1" x14ac:dyDescent="0.3"/>
    <row r="1651" hidden="1" x14ac:dyDescent="0.3"/>
    <row r="1652" hidden="1" x14ac:dyDescent="0.3"/>
    <row r="1653" hidden="1" x14ac:dyDescent="0.3"/>
    <row r="1654" hidden="1" x14ac:dyDescent="0.3"/>
    <row r="1655" hidden="1" x14ac:dyDescent="0.3"/>
    <row r="1656" hidden="1" x14ac:dyDescent="0.3"/>
    <row r="1657" hidden="1" x14ac:dyDescent="0.3"/>
    <row r="1658" hidden="1" x14ac:dyDescent="0.3"/>
    <row r="1659" hidden="1" x14ac:dyDescent="0.3"/>
    <row r="1660" hidden="1" x14ac:dyDescent="0.3"/>
    <row r="1661" hidden="1" x14ac:dyDescent="0.3"/>
    <row r="1662" hidden="1" x14ac:dyDescent="0.3"/>
    <row r="1663" hidden="1" x14ac:dyDescent="0.3"/>
    <row r="1664" hidden="1" x14ac:dyDescent="0.3"/>
    <row r="1665" hidden="1" x14ac:dyDescent="0.3"/>
    <row r="1666" hidden="1" x14ac:dyDescent="0.3"/>
    <row r="1667" hidden="1" x14ac:dyDescent="0.3"/>
    <row r="1668" hidden="1" x14ac:dyDescent="0.3"/>
    <row r="1669" hidden="1" x14ac:dyDescent="0.3"/>
    <row r="1670" hidden="1" x14ac:dyDescent="0.3"/>
    <row r="1671" hidden="1" x14ac:dyDescent="0.3"/>
    <row r="1672" hidden="1" x14ac:dyDescent="0.3"/>
    <row r="1673" hidden="1" x14ac:dyDescent="0.3"/>
    <row r="1674" hidden="1" x14ac:dyDescent="0.3"/>
    <row r="1675" hidden="1" x14ac:dyDescent="0.3"/>
    <row r="1676" hidden="1" x14ac:dyDescent="0.3"/>
    <row r="1677" hidden="1" x14ac:dyDescent="0.3"/>
    <row r="1678" hidden="1" x14ac:dyDescent="0.3"/>
    <row r="1679" hidden="1" x14ac:dyDescent="0.3"/>
    <row r="1680" hidden="1" x14ac:dyDescent="0.3"/>
    <row r="1681" hidden="1" x14ac:dyDescent="0.3"/>
    <row r="1682" hidden="1" x14ac:dyDescent="0.3"/>
    <row r="1683" hidden="1" x14ac:dyDescent="0.3"/>
    <row r="1684" hidden="1" x14ac:dyDescent="0.3"/>
    <row r="1685" hidden="1" x14ac:dyDescent="0.3"/>
    <row r="1686" hidden="1" x14ac:dyDescent="0.3"/>
    <row r="1687" hidden="1" x14ac:dyDescent="0.3"/>
    <row r="1688" hidden="1" x14ac:dyDescent="0.3"/>
    <row r="1689" hidden="1" x14ac:dyDescent="0.3"/>
    <row r="1690" hidden="1" x14ac:dyDescent="0.3"/>
    <row r="1691" hidden="1" x14ac:dyDescent="0.3"/>
    <row r="1692" hidden="1" x14ac:dyDescent="0.3"/>
    <row r="1693" hidden="1" x14ac:dyDescent="0.3"/>
    <row r="1694" hidden="1" x14ac:dyDescent="0.3"/>
    <row r="1695" hidden="1" x14ac:dyDescent="0.3"/>
    <row r="1696" hidden="1" x14ac:dyDescent="0.3"/>
    <row r="1697" hidden="1" x14ac:dyDescent="0.3"/>
    <row r="1698" hidden="1" x14ac:dyDescent="0.3"/>
    <row r="1699" hidden="1" x14ac:dyDescent="0.3"/>
    <row r="1700" hidden="1" x14ac:dyDescent="0.3"/>
    <row r="1701" hidden="1" x14ac:dyDescent="0.3"/>
    <row r="1702" hidden="1" x14ac:dyDescent="0.3"/>
    <row r="1703" hidden="1" x14ac:dyDescent="0.3"/>
    <row r="1704" hidden="1" x14ac:dyDescent="0.3"/>
    <row r="1705" hidden="1" x14ac:dyDescent="0.3"/>
    <row r="1706" hidden="1" x14ac:dyDescent="0.3"/>
    <row r="1707" hidden="1" x14ac:dyDescent="0.3"/>
    <row r="1708" hidden="1" x14ac:dyDescent="0.3"/>
    <row r="1709" hidden="1" x14ac:dyDescent="0.3"/>
    <row r="1710" hidden="1" x14ac:dyDescent="0.3"/>
    <row r="1711" hidden="1" x14ac:dyDescent="0.3"/>
    <row r="1712" hidden="1" x14ac:dyDescent="0.3"/>
    <row r="1713" hidden="1" x14ac:dyDescent="0.3"/>
    <row r="1714" hidden="1" x14ac:dyDescent="0.3"/>
    <row r="1715" hidden="1" x14ac:dyDescent="0.3"/>
    <row r="1716" hidden="1" x14ac:dyDescent="0.3"/>
    <row r="1717" hidden="1" x14ac:dyDescent="0.3"/>
    <row r="1718" hidden="1" x14ac:dyDescent="0.3"/>
    <row r="1719" hidden="1" x14ac:dyDescent="0.3"/>
    <row r="1720" hidden="1" x14ac:dyDescent="0.3"/>
    <row r="1721" hidden="1" x14ac:dyDescent="0.3"/>
    <row r="1722" hidden="1" x14ac:dyDescent="0.3"/>
    <row r="1723" hidden="1" x14ac:dyDescent="0.3"/>
    <row r="1724" hidden="1" x14ac:dyDescent="0.3"/>
    <row r="1725" hidden="1" x14ac:dyDescent="0.3"/>
    <row r="1726" hidden="1" x14ac:dyDescent="0.3"/>
    <row r="1727" hidden="1" x14ac:dyDescent="0.3"/>
    <row r="1728" hidden="1" x14ac:dyDescent="0.3"/>
    <row r="1729" hidden="1" x14ac:dyDescent="0.3"/>
    <row r="1730" hidden="1" x14ac:dyDescent="0.3"/>
    <row r="1731" hidden="1" x14ac:dyDescent="0.3"/>
    <row r="1732" hidden="1" x14ac:dyDescent="0.3"/>
    <row r="1733" hidden="1" x14ac:dyDescent="0.3"/>
    <row r="1734" hidden="1" x14ac:dyDescent="0.3"/>
    <row r="1735" hidden="1" x14ac:dyDescent="0.3"/>
    <row r="1736" hidden="1" x14ac:dyDescent="0.3"/>
    <row r="1737" hidden="1" x14ac:dyDescent="0.3"/>
    <row r="1738" hidden="1" x14ac:dyDescent="0.3"/>
    <row r="1739" hidden="1" x14ac:dyDescent="0.3"/>
    <row r="1740" hidden="1" x14ac:dyDescent="0.3"/>
    <row r="1741" hidden="1" x14ac:dyDescent="0.3"/>
    <row r="1742" hidden="1" x14ac:dyDescent="0.3"/>
    <row r="1743" hidden="1" x14ac:dyDescent="0.3"/>
    <row r="1744" hidden="1" x14ac:dyDescent="0.3"/>
    <row r="1745" hidden="1" x14ac:dyDescent="0.3"/>
    <row r="1746" hidden="1" x14ac:dyDescent="0.3"/>
    <row r="1747" hidden="1" x14ac:dyDescent="0.3"/>
    <row r="1748" hidden="1" x14ac:dyDescent="0.3"/>
    <row r="1749" hidden="1" x14ac:dyDescent="0.3"/>
    <row r="1750" hidden="1" x14ac:dyDescent="0.3"/>
    <row r="1751" hidden="1" x14ac:dyDescent="0.3"/>
    <row r="1752" hidden="1" x14ac:dyDescent="0.3"/>
    <row r="1753" hidden="1" x14ac:dyDescent="0.3"/>
    <row r="1754" hidden="1" x14ac:dyDescent="0.3"/>
    <row r="1755" hidden="1" x14ac:dyDescent="0.3"/>
    <row r="1756" hidden="1" x14ac:dyDescent="0.3"/>
    <row r="1757" hidden="1" x14ac:dyDescent="0.3"/>
    <row r="1758" hidden="1" x14ac:dyDescent="0.3"/>
    <row r="1759" hidden="1" x14ac:dyDescent="0.3"/>
    <row r="1760" hidden="1" x14ac:dyDescent="0.3"/>
    <row r="1761" hidden="1" x14ac:dyDescent="0.3"/>
    <row r="1762" hidden="1" x14ac:dyDescent="0.3"/>
    <row r="1763" hidden="1" x14ac:dyDescent="0.3"/>
    <row r="1764" hidden="1" x14ac:dyDescent="0.3"/>
    <row r="1765" hidden="1" x14ac:dyDescent="0.3"/>
    <row r="1766" hidden="1" x14ac:dyDescent="0.3"/>
    <row r="1767" hidden="1" x14ac:dyDescent="0.3"/>
    <row r="1768" hidden="1" x14ac:dyDescent="0.3"/>
    <row r="1769" hidden="1" x14ac:dyDescent="0.3"/>
    <row r="1770" hidden="1" x14ac:dyDescent="0.3"/>
    <row r="1771" hidden="1" x14ac:dyDescent="0.3"/>
    <row r="1772" hidden="1" x14ac:dyDescent="0.3"/>
    <row r="1773" hidden="1" x14ac:dyDescent="0.3"/>
    <row r="1774" hidden="1" x14ac:dyDescent="0.3"/>
    <row r="1775" hidden="1" x14ac:dyDescent="0.3"/>
    <row r="1776" hidden="1" x14ac:dyDescent="0.3"/>
    <row r="1777" hidden="1" x14ac:dyDescent="0.3"/>
    <row r="1778" hidden="1" x14ac:dyDescent="0.3"/>
    <row r="1779" hidden="1" x14ac:dyDescent="0.3"/>
    <row r="1780" hidden="1" x14ac:dyDescent="0.3"/>
    <row r="1781" hidden="1" x14ac:dyDescent="0.3"/>
    <row r="1782" hidden="1" x14ac:dyDescent="0.3"/>
    <row r="1783" hidden="1" x14ac:dyDescent="0.3"/>
    <row r="1784" hidden="1" x14ac:dyDescent="0.3"/>
    <row r="1785" hidden="1" x14ac:dyDescent="0.3"/>
    <row r="1786" hidden="1" x14ac:dyDescent="0.3"/>
    <row r="1787" hidden="1" x14ac:dyDescent="0.3"/>
    <row r="1788" hidden="1" x14ac:dyDescent="0.3"/>
    <row r="1789" hidden="1" x14ac:dyDescent="0.3"/>
    <row r="1790" hidden="1" x14ac:dyDescent="0.3"/>
    <row r="1791" hidden="1" x14ac:dyDescent="0.3"/>
    <row r="1792" hidden="1" x14ac:dyDescent="0.3"/>
    <row r="1793" hidden="1" x14ac:dyDescent="0.3"/>
    <row r="1794" hidden="1" x14ac:dyDescent="0.3"/>
    <row r="1795" hidden="1" x14ac:dyDescent="0.3"/>
    <row r="1796" hidden="1" x14ac:dyDescent="0.3"/>
    <row r="1797" hidden="1" x14ac:dyDescent="0.3"/>
    <row r="1798" hidden="1" x14ac:dyDescent="0.3"/>
    <row r="1799" hidden="1" x14ac:dyDescent="0.3"/>
    <row r="1800" hidden="1" x14ac:dyDescent="0.3"/>
    <row r="1801" hidden="1" x14ac:dyDescent="0.3"/>
    <row r="1802" hidden="1" x14ac:dyDescent="0.3"/>
    <row r="1803" hidden="1" x14ac:dyDescent="0.3"/>
    <row r="1804" hidden="1" x14ac:dyDescent="0.3"/>
    <row r="1805" hidden="1" x14ac:dyDescent="0.3"/>
    <row r="1806" hidden="1" x14ac:dyDescent="0.3"/>
    <row r="1807" hidden="1" x14ac:dyDescent="0.3"/>
    <row r="1808" hidden="1" x14ac:dyDescent="0.3"/>
    <row r="1809" hidden="1" x14ac:dyDescent="0.3"/>
    <row r="1810" hidden="1" x14ac:dyDescent="0.3"/>
    <row r="1811" hidden="1" x14ac:dyDescent="0.3"/>
    <row r="1812" hidden="1" x14ac:dyDescent="0.3"/>
    <row r="1813" hidden="1" x14ac:dyDescent="0.3"/>
    <row r="1814" hidden="1" x14ac:dyDescent="0.3"/>
    <row r="1815" hidden="1" x14ac:dyDescent="0.3"/>
    <row r="1816" hidden="1" x14ac:dyDescent="0.3"/>
    <row r="1817" hidden="1" x14ac:dyDescent="0.3"/>
    <row r="1818" hidden="1" x14ac:dyDescent="0.3"/>
    <row r="1819" hidden="1" x14ac:dyDescent="0.3"/>
    <row r="1820" hidden="1" x14ac:dyDescent="0.3"/>
    <row r="1821" hidden="1" x14ac:dyDescent="0.3"/>
    <row r="1822" hidden="1" x14ac:dyDescent="0.3"/>
    <row r="1823" hidden="1" x14ac:dyDescent="0.3"/>
    <row r="1824" hidden="1" x14ac:dyDescent="0.3"/>
    <row r="1825" hidden="1" x14ac:dyDescent="0.3"/>
    <row r="1826" hidden="1" x14ac:dyDescent="0.3"/>
    <row r="1827" hidden="1" x14ac:dyDescent="0.3"/>
    <row r="1828" hidden="1" x14ac:dyDescent="0.3"/>
    <row r="1829" hidden="1" x14ac:dyDescent="0.3"/>
    <row r="1830" hidden="1" x14ac:dyDescent="0.3"/>
    <row r="1831" hidden="1" x14ac:dyDescent="0.3"/>
    <row r="1832" hidden="1" x14ac:dyDescent="0.3"/>
    <row r="1833" hidden="1" x14ac:dyDescent="0.3"/>
    <row r="1834" hidden="1" x14ac:dyDescent="0.3"/>
    <row r="1835" hidden="1" x14ac:dyDescent="0.3"/>
    <row r="1836" hidden="1" x14ac:dyDescent="0.3"/>
    <row r="1837" hidden="1" x14ac:dyDescent="0.3"/>
    <row r="1838" hidden="1" x14ac:dyDescent="0.3"/>
    <row r="1839" hidden="1" x14ac:dyDescent="0.3"/>
    <row r="1840" hidden="1" x14ac:dyDescent="0.3"/>
    <row r="1841" hidden="1" x14ac:dyDescent="0.3"/>
    <row r="1842" hidden="1" x14ac:dyDescent="0.3"/>
    <row r="1843" hidden="1" x14ac:dyDescent="0.3"/>
    <row r="1844" hidden="1" x14ac:dyDescent="0.3"/>
    <row r="1845" hidden="1" x14ac:dyDescent="0.3"/>
    <row r="1846" hidden="1" x14ac:dyDescent="0.3"/>
    <row r="1847" hidden="1" x14ac:dyDescent="0.3"/>
    <row r="1848" hidden="1" x14ac:dyDescent="0.3"/>
    <row r="1849" hidden="1" x14ac:dyDescent="0.3"/>
    <row r="1850" hidden="1" x14ac:dyDescent="0.3"/>
    <row r="1851" hidden="1" x14ac:dyDescent="0.3"/>
    <row r="1852" hidden="1" x14ac:dyDescent="0.3"/>
    <row r="1853" hidden="1" x14ac:dyDescent="0.3"/>
    <row r="1854" hidden="1" x14ac:dyDescent="0.3"/>
    <row r="1855" hidden="1" x14ac:dyDescent="0.3"/>
    <row r="1856" hidden="1" x14ac:dyDescent="0.3"/>
    <row r="1857" hidden="1" x14ac:dyDescent="0.3"/>
    <row r="1858" hidden="1" x14ac:dyDescent="0.3"/>
    <row r="1859" hidden="1" x14ac:dyDescent="0.3"/>
    <row r="1860" hidden="1" x14ac:dyDescent="0.3"/>
    <row r="1861" hidden="1" x14ac:dyDescent="0.3"/>
    <row r="1862" hidden="1" x14ac:dyDescent="0.3"/>
    <row r="1863" hidden="1" x14ac:dyDescent="0.3"/>
    <row r="1864" hidden="1" x14ac:dyDescent="0.3"/>
    <row r="1865" hidden="1" x14ac:dyDescent="0.3"/>
    <row r="1866" hidden="1" x14ac:dyDescent="0.3"/>
    <row r="1867" hidden="1" x14ac:dyDescent="0.3"/>
    <row r="1868" hidden="1" x14ac:dyDescent="0.3"/>
    <row r="1869" hidden="1" x14ac:dyDescent="0.3"/>
    <row r="1870" hidden="1" x14ac:dyDescent="0.3"/>
    <row r="1871" hidden="1" x14ac:dyDescent="0.3"/>
    <row r="1872" hidden="1" x14ac:dyDescent="0.3"/>
    <row r="1873" hidden="1" x14ac:dyDescent="0.3"/>
    <row r="1874" hidden="1" x14ac:dyDescent="0.3"/>
    <row r="1875" hidden="1" x14ac:dyDescent="0.3"/>
    <row r="1876" hidden="1" x14ac:dyDescent="0.3"/>
    <row r="1877" hidden="1" x14ac:dyDescent="0.3"/>
    <row r="1878" hidden="1" x14ac:dyDescent="0.3"/>
    <row r="1879" hidden="1" x14ac:dyDescent="0.3"/>
    <row r="1880" hidden="1" x14ac:dyDescent="0.3"/>
    <row r="1881" hidden="1" x14ac:dyDescent="0.3"/>
    <row r="1882" hidden="1" x14ac:dyDescent="0.3"/>
    <row r="1883" hidden="1" x14ac:dyDescent="0.3"/>
    <row r="1884" hidden="1" x14ac:dyDescent="0.3"/>
    <row r="1885" hidden="1" x14ac:dyDescent="0.3"/>
    <row r="1886" hidden="1" x14ac:dyDescent="0.3"/>
    <row r="1887" hidden="1" x14ac:dyDescent="0.3"/>
    <row r="1888" hidden="1" x14ac:dyDescent="0.3"/>
    <row r="1889" hidden="1" x14ac:dyDescent="0.3"/>
    <row r="1890" hidden="1" x14ac:dyDescent="0.3"/>
    <row r="1891" hidden="1" x14ac:dyDescent="0.3"/>
    <row r="1892" hidden="1" x14ac:dyDescent="0.3"/>
    <row r="1893" hidden="1" x14ac:dyDescent="0.3"/>
    <row r="1894" hidden="1" x14ac:dyDescent="0.3"/>
    <row r="1895" hidden="1" x14ac:dyDescent="0.3"/>
    <row r="1896" hidden="1" x14ac:dyDescent="0.3"/>
    <row r="1897" hidden="1" x14ac:dyDescent="0.3"/>
    <row r="1898" hidden="1" x14ac:dyDescent="0.3"/>
    <row r="1899" hidden="1" x14ac:dyDescent="0.3"/>
    <row r="1900" hidden="1" x14ac:dyDescent="0.3"/>
    <row r="1901" hidden="1" x14ac:dyDescent="0.3"/>
    <row r="1902" hidden="1" x14ac:dyDescent="0.3"/>
    <row r="1903" hidden="1" x14ac:dyDescent="0.3"/>
    <row r="1904" hidden="1" x14ac:dyDescent="0.3"/>
    <row r="1905" hidden="1" x14ac:dyDescent="0.3"/>
    <row r="1906" hidden="1" x14ac:dyDescent="0.3"/>
    <row r="1907" hidden="1" x14ac:dyDescent="0.3"/>
    <row r="1908" hidden="1" x14ac:dyDescent="0.3"/>
    <row r="1909" hidden="1" x14ac:dyDescent="0.3"/>
    <row r="1910" hidden="1" x14ac:dyDescent="0.3"/>
    <row r="1911" hidden="1" x14ac:dyDescent="0.3"/>
    <row r="1912" hidden="1" x14ac:dyDescent="0.3"/>
    <row r="1913" hidden="1" x14ac:dyDescent="0.3"/>
    <row r="1914" hidden="1" x14ac:dyDescent="0.3"/>
    <row r="1915" hidden="1" x14ac:dyDescent="0.3"/>
    <row r="1916" hidden="1" x14ac:dyDescent="0.3"/>
    <row r="1917" hidden="1" x14ac:dyDescent="0.3"/>
    <row r="1918" hidden="1" x14ac:dyDescent="0.3"/>
    <row r="1919" hidden="1" x14ac:dyDescent="0.3"/>
    <row r="1920" hidden="1" x14ac:dyDescent="0.3"/>
    <row r="1921" hidden="1" x14ac:dyDescent="0.3"/>
    <row r="1922" hidden="1" x14ac:dyDescent="0.3"/>
    <row r="1923" hidden="1" x14ac:dyDescent="0.3"/>
    <row r="1924" hidden="1" x14ac:dyDescent="0.3"/>
    <row r="1925" hidden="1" x14ac:dyDescent="0.3"/>
    <row r="1926" hidden="1" x14ac:dyDescent="0.3"/>
    <row r="1927" hidden="1" x14ac:dyDescent="0.3"/>
    <row r="1928" hidden="1" x14ac:dyDescent="0.3"/>
    <row r="1929" hidden="1" x14ac:dyDescent="0.3"/>
    <row r="1930" hidden="1" x14ac:dyDescent="0.3"/>
    <row r="1931" hidden="1" x14ac:dyDescent="0.3"/>
    <row r="1932" hidden="1" x14ac:dyDescent="0.3"/>
    <row r="1933" hidden="1" x14ac:dyDescent="0.3"/>
    <row r="1934" hidden="1" x14ac:dyDescent="0.3"/>
    <row r="1935" hidden="1" x14ac:dyDescent="0.3"/>
    <row r="1936" hidden="1" x14ac:dyDescent="0.3"/>
    <row r="1937" hidden="1" x14ac:dyDescent="0.3"/>
    <row r="1938" hidden="1" x14ac:dyDescent="0.3"/>
    <row r="1939" hidden="1" x14ac:dyDescent="0.3"/>
    <row r="1940" hidden="1" x14ac:dyDescent="0.3"/>
    <row r="1941" hidden="1" x14ac:dyDescent="0.3"/>
    <row r="1942" hidden="1" x14ac:dyDescent="0.3"/>
    <row r="1943" hidden="1" x14ac:dyDescent="0.3"/>
    <row r="1944" hidden="1" x14ac:dyDescent="0.3"/>
    <row r="1945" hidden="1" x14ac:dyDescent="0.3"/>
    <row r="1946" hidden="1" x14ac:dyDescent="0.3"/>
    <row r="1947" hidden="1" x14ac:dyDescent="0.3"/>
    <row r="1948" hidden="1" x14ac:dyDescent="0.3"/>
    <row r="1949" hidden="1" x14ac:dyDescent="0.3"/>
    <row r="1950" hidden="1" x14ac:dyDescent="0.3"/>
    <row r="1951" hidden="1" x14ac:dyDescent="0.3"/>
    <row r="1952" hidden="1" x14ac:dyDescent="0.3"/>
    <row r="1953" hidden="1" x14ac:dyDescent="0.3"/>
    <row r="1954" hidden="1" x14ac:dyDescent="0.3"/>
    <row r="1955" hidden="1" x14ac:dyDescent="0.3"/>
    <row r="1956" hidden="1" x14ac:dyDescent="0.3"/>
    <row r="1957" hidden="1" x14ac:dyDescent="0.3"/>
    <row r="1958" hidden="1" x14ac:dyDescent="0.3"/>
    <row r="1959" hidden="1" x14ac:dyDescent="0.3"/>
    <row r="1960" hidden="1" x14ac:dyDescent="0.3"/>
    <row r="1961" hidden="1" x14ac:dyDescent="0.3"/>
    <row r="1962" hidden="1" x14ac:dyDescent="0.3"/>
    <row r="1963" hidden="1" x14ac:dyDescent="0.3"/>
    <row r="1964" hidden="1" x14ac:dyDescent="0.3"/>
    <row r="1965" hidden="1" x14ac:dyDescent="0.3"/>
    <row r="1966" hidden="1" x14ac:dyDescent="0.3"/>
    <row r="1967" hidden="1" x14ac:dyDescent="0.3"/>
    <row r="1968" hidden="1" x14ac:dyDescent="0.3"/>
    <row r="1969" hidden="1" x14ac:dyDescent="0.3"/>
    <row r="1970" hidden="1" x14ac:dyDescent="0.3"/>
    <row r="1971" hidden="1" x14ac:dyDescent="0.3"/>
    <row r="1972" hidden="1" x14ac:dyDescent="0.3"/>
    <row r="1973" hidden="1" x14ac:dyDescent="0.3"/>
    <row r="1974" hidden="1" x14ac:dyDescent="0.3"/>
    <row r="1975" hidden="1" x14ac:dyDescent="0.3"/>
    <row r="1976" hidden="1" x14ac:dyDescent="0.3"/>
    <row r="1977" hidden="1" x14ac:dyDescent="0.3"/>
    <row r="1978" hidden="1" x14ac:dyDescent="0.3"/>
    <row r="1979" hidden="1" x14ac:dyDescent="0.3"/>
    <row r="1980" hidden="1" x14ac:dyDescent="0.3"/>
    <row r="1981" hidden="1" x14ac:dyDescent="0.3"/>
    <row r="1982" hidden="1" x14ac:dyDescent="0.3"/>
    <row r="1983" hidden="1" x14ac:dyDescent="0.3"/>
    <row r="1984" hidden="1" x14ac:dyDescent="0.3"/>
    <row r="1985" hidden="1" x14ac:dyDescent="0.3"/>
    <row r="1986" hidden="1" x14ac:dyDescent="0.3"/>
    <row r="1987" hidden="1" x14ac:dyDescent="0.3"/>
    <row r="1988" hidden="1" x14ac:dyDescent="0.3"/>
    <row r="1989" hidden="1" x14ac:dyDescent="0.3"/>
    <row r="1990" hidden="1" x14ac:dyDescent="0.3"/>
    <row r="1991" hidden="1" x14ac:dyDescent="0.3"/>
    <row r="1992" hidden="1" x14ac:dyDescent="0.3"/>
    <row r="1993" hidden="1" x14ac:dyDescent="0.3"/>
    <row r="1994" hidden="1" x14ac:dyDescent="0.3"/>
    <row r="1995" hidden="1" x14ac:dyDescent="0.3"/>
    <row r="1996" hidden="1" x14ac:dyDescent="0.3"/>
    <row r="1997" hidden="1" x14ac:dyDescent="0.3"/>
    <row r="1998" hidden="1" x14ac:dyDescent="0.3"/>
    <row r="1999" hidden="1" x14ac:dyDescent="0.3"/>
    <row r="2000" hidden="1" x14ac:dyDescent="0.3"/>
    <row r="2001" hidden="1" x14ac:dyDescent="0.3"/>
    <row r="2002" hidden="1" x14ac:dyDescent="0.3"/>
    <row r="2003" hidden="1" x14ac:dyDescent="0.3"/>
    <row r="2004" hidden="1" x14ac:dyDescent="0.3"/>
    <row r="2005" hidden="1" x14ac:dyDescent="0.3"/>
    <row r="2006" hidden="1" x14ac:dyDescent="0.3"/>
    <row r="2007" hidden="1" x14ac:dyDescent="0.3"/>
    <row r="2008" hidden="1" x14ac:dyDescent="0.3"/>
    <row r="2009" hidden="1" x14ac:dyDescent="0.3"/>
    <row r="2010" hidden="1" x14ac:dyDescent="0.3"/>
    <row r="2011" hidden="1" x14ac:dyDescent="0.3"/>
    <row r="2012" hidden="1" x14ac:dyDescent="0.3"/>
    <row r="2013" hidden="1" x14ac:dyDescent="0.3"/>
    <row r="2014" hidden="1" x14ac:dyDescent="0.3"/>
    <row r="2015" hidden="1" x14ac:dyDescent="0.3"/>
    <row r="2016" hidden="1" x14ac:dyDescent="0.3"/>
    <row r="2017" hidden="1" x14ac:dyDescent="0.3"/>
    <row r="2018" hidden="1" x14ac:dyDescent="0.3"/>
    <row r="2019" hidden="1" x14ac:dyDescent="0.3"/>
    <row r="2020" hidden="1" x14ac:dyDescent="0.3"/>
    <row r="2021" hidden="1" x14ac:dyDescent="0.3"/>
    <row r="2022" hidden="1" x14ac:dyDescent="0.3"/>
    <row r="2023" hidden="1" x14ac:dyDescent="0.3"/>
    <row r="2024" hidden="1" x14ac:dyDescent="0.3"/>
    <row r="2025" hidden="1" x14ac:dyDescent="0.3"/>
    <row r="2026" hidden="1" x14ac:dyDescent="0.3"/>
    <row r="2027" hidden="1" x14ac:dyDescent="0.3"/>
    <row r="2028" hidden="1" x14ac:dyDescent="0.3"/>
    <row r="2029" hidden="1" x14ac:dyDescent="0.3"/>
    <row r="2030" hidden="1" x14ac:dyDescent="0.3"/>
    <row r="2031" hidden="1" x14ac:dyDescent="0.3"/>
    <row r="2032" hidden="1" x14ac:dyDescent="0.3"/>
    <row r="2033" hidden="1" x14ac:dyDescent="0.3"/>
    <row r="2034" hidden="1" x14ac:dyDescent="0.3"/>
    <row r="2035" hidden="1" x14ac:dyDescent="0.3"/>
    <row r="2036" hidden="1" x14ac:dyDescent="0.3"/>
    <row r="2037" hidden="1" x14ac:dyDescent="0.3"/>
    <row r="2038" hidden="1" x14ac:dyDescent="0.3"/>
    <row r="2039" hidden="1" x14ac:dyDescent="0.3"/>
    <row r="2040" hidden="1" x14ac:dyDescent="0.3"/>
    <row r="2041" hidden="1" x14ac:dyDescent="0.3"/>
    <row r="2042" hidden="1" x14ac:dyDescent="0.3"/>
    <row r="2043" hidden="1" x14ac:dyDescent="0.3"/>
    <row r="2044" hidden="1" x14ac:dyDescent="0.3"/>
    <row r="2045" hidden="1" x14ac:dyDescent="0.3"/>
    <row r="2046" hidden="1" x14ac:dyDescent="0.3"/>
    <row r="2047" hidden="1" x14ac:dyDescent="0.3"/>
    <row r="2048" hidden="1" x14ac:dyDescent="0.3"/>
    <row r="2049" hidden="1" x14ac:dyDescent="0.3"/>
    <row r="2050" hidden="1" x14ac:dyDescent="0.3"/>
    <row r="2051" hidden="1" x14ac:dyDescent="0.3"/>
    <row r="2052" hidden="1" x14ac:dyDescent="0.3"/>
    <row r="2053" hidden="1" x14ac:dyDescent="0.3"/>
    <row r="2054" hidden="1" x14ac:dyDescent="0.3"/>
    <row r="2055" hidden="1" x14ac:dyDescent="0.3"/>
    <row r="2056" hidden="1" x14ac:dyDescent="0.3"/>
    <row r="2057" hidden="1" x14ac:dyDescent="0.3"/>
    <row r="2058" hidden="1" x14ac:dyDescent="0.3"/>
    <row r="2059" hidden="1" x14ac:dyDescent="0.3"/>
    <row r="2060" hidden="1" x14ac:dyDescent="0.3"/>
    <row r="2061" hidden="1" x14ac:dyDescent="0.3"/>
    <row r="2062" hidden="1" x14ac:dyDescent="0.3"/>
    <row r="2063" hidden="1" x14ac:dyDescent="0.3"/>
    <row r="2064" hidden="1" x14ac:dyDescent="0.3"/>
    <row r="2065" hidden="1" x14ac:dyDescent="0.3"/>
    <row r="2066" hidden="1" x14ac:dyDescent="0.3"/>
    <row r="2067" hidden="1" x14ac:dyDescent="0.3"/>
    <row r="2068" hidden="1" x14ac:dyDescent="0.3"/>
    <row r="2069" hidden="1" x14ac:dyDescent="0.3"/>
    <row r="2070" hidden="1" x14ac:dyDescent="0.3"/>
    <row r="2071" hidden="1" x14ac:dyDescent="0.3"/>
    <row r="2072" hidden="1" x14ac:dyDescent="0.3"/>
    <row r="2073" hidden="1" x14ac:dyDescent="0.3"/>
    <row r="2074" hidden="1" x14ac:dyDescent="0.3"/>
    <row r="2075" hidden="1" x14ac:dyDescent="0.3"/>
    <row r="2076" hidden="1" x14ac:dyDescent="0.3"/>
    <row r="2077" hidden="1" x14ac:dyDescent="0.3"/>
    <row r="2078" hidden="1" x14ac:dyDescent="0.3"/>
    <row r="2079" hidden="1" x14ac:dyDescent="0.3"/>
    <row r="2080" hidden="1" x14ac:dyDescent="0.3"/>
    <row r="2081" hidden="1" x14ac:dyDescent="0.3"/>
    <row r="2082" hidden="1" x14ac:dyDescent="0.3"/>
    <row r="2083" hidden="1" x14ac:dyDescent="0.3"/>
    <row r="2084" hidden="1" x14ac:dyDescent="0.3"/>
    <row r="2085" hidden="1" x14ac:dyDescent="0.3"/>
    <row r="2086" hidden="1" x14ac:dyDescent="0.3"/>
    <row r="2087" hidden="1" x14ac:dyDescent="0.3"/>
    <row r="2088" hidden="1" x14ac:dyDescent="0.3"/>
    <row r="2089" hidden="1" x14ac:dyDescent="0.3"/>
    <row r="2090" hidden="1" x14ac:dyDescent="0.3"/>
    <row r="2091" hidden="1" x14ac:dyDescent="0.3"/>
    <row r="2092" hidden="1" x14ac:dyDescent="0.3"/>
    <row r="2093" hidden="1" x14ac:dyDescent="0.3"/>
    <row r="2094" hidden="1" x14ac:dyDescent="0.3"/>
    <row r="2095" hidden="1" x14ac:dyDescent="0.3"/>
    <row r="2096" hidden="1" x14ac:dyDescent="0.3"/>
    <row r="2097" hidden="1" x14ac:dyDescent="0.3"/>
    <row r="2098" hidden="1" x14ac:dyDescent="0.3"/>
    <row r="2099" hidden="1" x14ac:dyDescent="0.3"/>
    <row r="2100" hidden="1" x14ac:dyDescent="0.3"/>
    <row r="2101" hidden="1" x14ac:dyDescent="0.3"/>
    <row r="2102" hidden="1" x14ac:dyDescent="0.3"/>
    <row r="2103" hidden="1" x14ac:dyDescent="0.3"/>
    <row r="2104" hidden="1" x14ac:dyDescent="0.3"/>
    <row r="2105" hidden="1" x14ac:dyDescent="0.3"/>
    <row r="2106" hidden="1" x14ac:dyDescent="0.3"/>
    <row r="2107" hidden="1" x14ac:dyDescent="0.3"/>
    <row r="2108" hidden="1" x14ac:dyDescent="0.3"/>
    <row r="2109" hidden="1" x14ac:dyDescent="0.3"/>
    <row r="2110" hidden="1" x14ac:dyDescent="0.3"/>
    <row r="2111" hidden="1" x14ac:dyDescent="0.3"/>
    <row r="2112" hidden="1" x14ac:dyDescent="0.3"/>
    <row r="2113" hidden="1" x14ac:dyDescent="0.3"/>
    <row r="2114" hidden="1" x14ac:dyDescent="0.3"/>
    <row r="2115" hidden="1" x14ac:dyDescent="0.3"/>
    <row r="2116" hidden="1" x14ac:dyDescent="0.3"/>
    <row r="2117" hidden="1" x14ac:dyDescent="0.3"/>
    <row r="2118" hidden="1" x14ac:dyDescent="0.3"/>
    <row r="2119" hidden="1" x14ac:dyDescent="0.3"/>
    <row r="2120" hidden="1" x14ac:dyDescent="0.3"/>
    <row r="2121" hidden="1" x14ac:dyDescent="0.3"/>
    <row r="2122" hidden="1" x14ac:dyDescent="0.3"/>
    <row r="2123" hidden="1" x14ac:dyDescent="0.3"/>
    <row r="2124" hidden="1" x14ac:dyDescent="0.3"/>
    <row r="2125" hidden="1" x14ac:dyDescent="0.3"/>
    <row r="2126" hidden="1" x14ac:dyDescent="0.3"/>
    <row r="2127" hidden="1" x14ac:dyDescent="0.3"/>
    <row r="2128" hidden="1" x14ac:dyDescent="0.3"/>
    <row r="2129" hidden="1" x14ac:dyDescent="0.3"/>
    <row r="2130" hidden="1" x14ac:dyDescent="0.3"/>
    <row r="2131" hidden="1" x14ac:dyDescent="0.3"/>
    <row r="2132" hidden="1" x14ac:dyDescent="0.3"/>
    <row r="2133" hidden="1" x14ac:dyDescent="0.3"/>
    <row r="2134" hidden="1" x14ac:dyDescent="0.3"/>
    <row r="2135" hidden="1" x14ac:dyDescent="0.3"/>
    <row r="2136" hidden="1" x14ac:dyDescent="0.3"/>
    <row r="2137" hidden="1" x14ac:dyDescent="0.3"/>
    <row r="2138" hidden="1" x14ac:dyDescent="0.3"/>
    <row r="2139" hidden="1" x14ac:dyDescent="0.3"/>
    <row r="2140" hidden="1" x14ac:dyDescent="0.3"/>
    <row r="2141" hidden="1" x14ac:dyDescent="0.3"/>
    <row r="2142" hidden="1" x14ac:dyDescent="0.3"/>
    <row r="2143" hidden="1" x14ac:dyDescent="0.3"/>
    <row r="2144" hidden="1" x14ac:dyDescent="0.3"/>
    <row r="2145" hidden="1" x14ac:dyDescent="0.3"/>
    <row r="2146" hidden="1" x14ac:dyDescent="0.3"/>
    <row r="2147" hidden="1" x14ac:dyDescent="0.3"/>
    <row r="2148" hidden="1" x14ac:dyDescent="0.3"/>
    <row r="2149" hidden="1" x14ac:dyDescent="0.3"/>
    <row r="2150" hidden="1" x14ac:dyDescent="0.3"/>
    <row r="2151" hidden="1" x14ac:dyDescent="0.3"/>
    <row r="2152" hidden="1" x14ac:dyDescent="0.3"/>
    <row r="2153" hidden="1" x14ac:dyDescent="0.3"/>
    <row r="2154" hidden="1" x14ac:dyDescent="0.3"/>
    <row r="2155" hidden="1" x14ac:dyDescent="0.3"/>
    <row r="2156" hidden="1" x14ac:dyDescent="0.3"/>
    <row r="2157" hidden="1" x14ac:dyDescent="0.3"/>
    <row r="2158" hidden="1" x14ac:dyDescent="0.3"/>
    <row r="2159" hidden="1" x14ac:dyDescent="0.3"/>
    <row r="2160" hidden="1" x14ac:dyDescent="0.3"/>
    <row r="2161" hidden="1" x14ac:dyDescent="0.3"/>
    <row r="2162" hidden="1" x14ac:dyDescent="0.3"/>
    <row r="2163" hidden="1" x14ac:dyDescent="0.3"/>
    <row r="2164" hidden="1" x14ac:dyDescent="0.3"/>
    <row r="2165" hidden="1" x14ac:dyDescent="0.3"/>
    <row r="2166" hidden="1" x14ac:dyDescent="0.3"/>
    <row r="2167" hidden="1" x14ac:dyDescent="0.3"/>
    <row r="2168" hidden="1" x14ac:dyDescent="0.3"/>
    <row r="2169" hidden="1" x14ac:dyDescent="0.3"/>
    <row r="2170" hidden="1" x14ac:dyDescent="0.3"/>
    <row r="2171" hidden="1" x14ac:dyDescent="0.3"/>
    <row r="2172" hidden="1" x14ac:dyDescent="0.3"/>
    <row r="2173" hidden="1" x14ac:dyDescent="0.3"/>
    <row r="2174" hidden="1" x14ac:dyDescent="0.3"/>
    <row r="2175" hidden="1" x14ac:dyDescent="0.3"/>
    <row r="2176" hidden="1" x14ac:dyDescent="0.3"/>
    <row r="2177" hidden="1" x14ac:dyDescent="0.3"/>
    <row r="2178" hidden="1" x14ac:dyDescent="0.3"/>
    <row r="2179" hidden="1" x14ac:dyDescent="0.3"/>
    <row r="2180" hidden="1" x14ac:dyDescent="0.3"/>
    <row r="2181" hidden="1" x14ac:dyDescent="0.3"/>
    <row r="2182" hidden="1" x14ac:dyDescent="0.3"/>
    <row r="2183" hidden="1" x14ac:dyDescent="0.3"/>
    <row r="2184" hidden="1" x14ac:dyDescent="0.3"/>
    <row r="2185" hidden="1" x14ac:dyDescent="0.3"/>
    <row r="2186" hidden="1" x14ac:dyDescent="0.3"/>
    <row r="2187" hidden="1" x14ac:dyDescent="0.3"/>
    <row r="2188" hidden="1" x14ac:dyDescent="0.3"/>
    <row r="2189" hidden="1" x14ac:dyDescent="0.3"/>
    <row r="2190" hidden="1" x14ac:dyDescent="0.3"/>
    <row r="2191" hidden="1" x14ac:dyDescent="0.3"/>
    <row r="2192" hidden="1" x14ac:dyDescent="0.3"/>
    <row r="2193" hidden="1" x14ac:dyDescent="0.3"/>
    <row r="2194" hidden="1" x14ac:dyDescent="0.3"/>
    <row r="2195" hidden="1" x14ac:dyDescent="0.3"/>
    <row r="2196" hidden="1" x14ac:dyDescent="0.3"/>
    <row r="2197" hidden="1" x14ac:dyDescent="0.3"/>
    <row r="2198" hidden="1" x14ac:dyDescent="0.3"/>
    <row r="2199" hidden="1" x14ac:dyDescent="0.3"/>
    <row r="2200" hidden="1" x14ac:dyDescent="0.3"/>
    <row r="2201" hidden="1" x14ac:dyDescent="0.3"/>
    <row r="2202" hidden="1" x14ac:dyDescent="0.3"/>
    <row r="2203" hidden="1" x14ac:dyDescent="0.3"/>
    <row r="2204" hidden="1" x14ac:dyDescent="0.3"/>
    <row r="2205" hidden="1" x14ac:dyDescent="0.3"/>
    <row r="2206" hidden="1" x14ac:dyDescent="0.3"/>
    <row r="2207" hidden="1" x14ac:dyDescent="0.3"/>
    <row r="2208" hidden="1" x14ac:dyDescent="0.3"/>
    <row r="2209" hidden="1" x14ac:dyDescent="0.3"/>
    <row r="2210" hidden="1" x14ac:dyDescent="0.3"/>
    <row r="2211" hidden="1" x14ac:dyDescent="0.3"/>
    <row r="2212" hidden="1" x14ac:dyDescent="0.3"/>
    <row r="2213" hidden="1" x14ac:dyDescent="0.3"/>
    <row r="2214" hidden="1" x14ac:dyDescent="0.3"/>
    <row r="2215" hidden="1" x14ac:dyDescent="0.3"/>
    <row r="2216" hidden="1" x14ac:dyDescent="0.3"/>
    <row r="2217" hidden="1" x14ac:dyDescent="0.3"/>
    <row r="2218" hidden="1" x14ac:dyDescent="0.3"/>
    <row r="2219" hidden="1" x14ac:dyDescent="0.3"/>
    <row r="2220" hidden="1" x14ac:dyDescent="0.3"/>
    <row r="2221" hidden="1" x14ac:dyDescent="0.3"/>
    <row r="2222" hidden="1" x14ac:dyDescent="0.3"/>
    <row r="2223" hidden="1" x14ac:dyDescent="0.3"/>
    <row r="2224" hidden="1" x14ac:dyDescent="0.3"/>
    <row r="2225" hidden="1" x14ac:dyDescent="0.3"/>
    <row r="2226" hidden="1" x14ac:dyDescent="0.3"/>
    <row r="2227" hidden="1" x14ac:dyDescent="0.3"/>
    <row r="2228" hidden="1" x14ac:dyDescent="0.3"/>
    <row r="2229" hidden="1" x14ac:dyDescent="0.3"/>
    <row r="2230" hidden="1" x14ac:dyDescent="0.3"/>
    <row r="2231" hidden="1" x14ac:dyDescent="0.3"/>
    <row r="2232" hidden="1" x14ac:dyDescent="0.3"/>
    <row r="2233" hidden="1" x14ac:dyDescent="0.3"/>
    <row r="2234" hidden="1" x14ac:dyDescent="0.3"/>
    <row r="2235" hidden="1" x14ac:dyDescent="0.3"/>
    <row r="2236" hidden="1" x14ac:dyDescent="0.3"/>
    <row r="2237" hidden="1" x14ac:dyDescent="0.3"/>
    <row r="2238" hidden="1" x14ac:dyDescent="0.3"/>
    <row r="2239" hidden="1" x14ac:dyDescent="0.3"/>
    <row r="2240" hidden="1" x14ac:dyDescent="0.3"/>
    <row r="2241" hidden="1" x14ac:dyDescent="0.3"/>
    <row r="2242" hidden="1" x14ac:dyDescent="0.3"/>
    <row r="2243" hidden="1" x14ac:dyDescent="0.3"/>
    <row r="2244" hidden="1" x14ac:dyDescent="0.3"/>
    <row r="2245" hidden="1" x14ac:dyDescent="0.3"/>
    <row r="2246" hidden="1" x14ac:dyDescent="0.3"/>
    <row r="2247" hidden="1" x14ac:dyDescent="0.3"/>
    <row r="2248" hidden="1" x14ac:dyDescent="0.3"/>
    <row r="2249" hidden="1" x14ac:dyDescent="0.3"/>
    <row r="2250" hidden="1" x14ac:dyDescent="0.3"/>
    <row r="2251" hidden="1" x14ac:dyDescent="0.3"/>
    <row r="2252" hidden="1" x14ac:dyDescent="0.3"/>
    <row r="2253" hidden="1" x14ac:dyDescent="0.3"/>
    <row r="2254" hidden="1" x14ac:dyDescent="0.3"/>
    <row r="2255" hidden="1" x14ac:dyDescent="0.3"/>
    <row r="2256" hidden="1" x14ac:dyDescent="0.3"/>
    <row r="2257" hidden="1" x14ac:dyDescent="0.3"/>
    <row r="2258" hidden="1" x14ac:dyDescent="0.3"/>
    <row r="2259" hidden="1" x14ac:dyDescent="0.3"/>
    <row r="2260" hidden="1" x14ac:dyDescent="0.3"/>
    <row r="2261" hidden="1" x14ac:dyDescent="0.3"/>
    <row r="2262" hidden="1" x14ac:dyDescent="0.3"/>
    <row r="2263" hidden="1" x14ac:dyDescent="0.3"/>
    <row r="2264" hidden="1" x14ac:dyDescent="0.3"/>
    <row r="2265" hidden="1" x14ac:dyDescent="0.3"/>
    <row r="2266" hidden="1" x14ac:dyDescent="0.3"/>
    <row r="2267" hidden="1" x14ac:dyDescent="0.3"/>
    <row r="2268" hidden="1" x14ac:dyDescent="0.3"/>
    <row r="2269" hidden="1" x14ac:dyDescent="0.3"/>
    <row r="2270" hidden="1" x14ac:dyDescent="0.3"/>
    <row r="2271" hidden="1" x14ac:dyDescent="0.3"/>
    <row r="2272" hidden="1" x14ac:dyDescent="0.3"/>
    <row r="2273" hidden="1" x14ac:dyDescent="0.3"/>
    <row r="2274" hidden="1" x14ac:dyDescent="0.3"/>
    <row r="2275" hidden="1" x14ac:dyDescent="0.3"/>
    <row r="2276" hidden="1" x14ac:dyDescent="0.3"/>
    <row r="2277" hidden="1" x14ac:dyDescent="0.3"/>
    <row r="2278" hidden="1" x14ac:dyDescent="0.3"/>
    <row r="2279" hidden="1" x14ac:dyDescent="0.3"/>
    <row r="2280" hidden="1" x14ac:dyDescent="0.3"/>
    <row r="2281" hidden="1" x14ac:dyDescent="0.3"/>
    <row r="2282" hidden="1" x14ac:dyDescent="0.3"/>
    <row r="2283" hidden="1" x14ac:dyDescent="0.3"/>
    <row r="2284" hidden="1" x14ac:dyDescent="0.3"/>
    <row r="2285" hidden="1" x14ac:dyDescent="0.3"/>
    <row r="2286" hidden="1" x14ac:dyDescent="0.3"/>
    <row r="2287" hidden="1" x14ac:dyDescent="0.3"/>
    <row r="2288" hidden="1" x14ac:dyDescent="0.3"/>
    <row r="2289" hidden="1" x14ac:dyDescent="0.3"/>
    <row r="2290" hidden="1" x14ac:dyDescent="0.3"/>
    <row r="2291" hidden="1" x14ac:dyDescent="0.3"/>
    <row r="2292" hidden="1" x14ac:dyDescent="0.3"/>
    <row r="2293" hidden="1" x14ac:dyDescent="0.3"/>
    <row r="2294" hidden="1" x14ac:dyDescent="0.3"/>
    <row r="2295" hidden="1" x14ac:dyDescent="0.3"/>
    <row r="2296" hidden="1" x14ac:dyDescent="0.3"/>
    <row r="2297" hidden="1" x14ac:dyDescent="0.3"/>
    <row r="2298" hidden="1" x14ac:dyDescent="0.3"/>
    <row r="2299" hidden="1" x14ac:dyDescent="0.3"/>
    <row r="2300" hidden="1" x14ac:dyDescent="0.3"/>
    <row r="2301" hidden="1" x14ac:dyDescent="0.3"/>
    <row r="2302" hidden="1" x14ac:dyDescent="0.3"/>
    <row r="2303" hidden="1" x14ac:dyDescent="0.3"/>
    <row r="2304" hidden="1" x14ac:dyDescent="0.3"/>
    <row r="2305" hidden="1" x14ac:dyDescent="0.3"/>
    <row r="2306" hidden="1" x14ac:dyDescent="0.3"/>
    <row r="2307" hidden="1" x14ac:dyDescent="0.3"/>
    <row r="2308" hidden="1" x14ac:dyDescent="0.3"/>
    <row r="2309" hidden="1" x14ac:dyDescent="0.3"/>
    <row r="2310" hidden="1" x14ac:dyDescent="0.3"/>
    <row r="2311" hidden="1" x14ac:dyDescent="0.3"/>
    <row r="2312" hidden="1" x14ac:dyDescent="0.3"/>
    <row r="2313" hidden="1" x14ac:dyDescent="0.3"/>
    <row r="2314" hidden="1" x14ac:dyDescent="0.3"/>
    <row r="2315" hidden="1" x14ac:dyDescent="0.3"/>
    <row r="2316" hidden="1" x14ac:dyDescent="0.3"/>
    <row r="2317" hidden="1" x14ac:dyDescent="0.3"/>
    <row r="2318" hidden="1" x14ac:dyDescent="0.3"/>
    <row r="2319" hidden="1" x14ac:dyDescent="0.3"/>
    <row r="2320" hidden="1" x14ac:dyDescent="0.3"/>
    <row r="2321" hidden="1" x14ac:dyDescent="0.3"/>
    <row r="2322" hidden="1" x14ac:dyDescent="0.3"/>
    <row r="2323" hidden="1" x14ac:dyDescent="0.3"/>
    <row r="2324" hidden="1" x14ac:dyDescent="0.3"/>
    <row r="2325" hidden="1" x14ac:dyDescent="0.3"/>
    <row r="2326" hidden="1" x14ac:dyDescent="0.3"/>
    <row r="2327" hidden="1" x14ac:dyDescent="0.3"/>
    <row r="2328" hidden="1" x14ac:dyDescent="0.3"/>
    <row r="2329" hidden="1" x14ac:dyDescent="0.3"/>
    <row r="2330" hidden="1" x14ac:dyDescent="0.3"/>
    <row r="2331" hidden="1" x14ac:dyDescent="0.3"/>
    <row r="2332" hidden="1" x14ac:dyDescent="0.3"/>
    <row r="2333" hidden="1" x14ac:dyDescent="0.3"/>
    <row r="2334" hidden="1" x14ac:dyDescent="0.3"/>
    <row r="2335" hidden="1" x14ac:dyDescent="0.3"/>
    <row r="2336" hidden="1" x14ac:dyDescent="0.3"/>
    <row r="2337" hidden="1" x14ac:dyDescent="0.3"/>
    <row r="2338" hidden="1" x14ac:dyDescent="0.3"/>
    <row r="2339" hidden="1" x14ac:dyDescent="0.3"/>
    <row r="2340" hidden="1" x14ac:dyDescent="0.3"/>
    <row r="2341" hidden="1" x14ac:dyDescent="0.3"/>
    <row r="2342" hidden="1" x14ac:dyDescent="0.3"/>
    <row r="2343" hidden="1" x14ac:dyDescent="0.3"/>
    <row r="2344" hidden="1" x14ac:dyDescent="0.3"/>
    <row r="2345" hidden="1" x14ac:dyDescent="0.3"/>
    <row r="2346" hidden="1" x14ac:dyDescent="0.3"/>
    <row r="2347" hidden="1" x14ac:dyDescent="0.3"/>
    <row r="2348" hidden="1" x14ac:dyDescent="0.3"/>
    <row r="2349" hidden="1" x14ac:dyDescent="0.3"/>
    <row r="2350" hidden="1" x14ac:dyDescent="0.3"/>
    <row r="2351" hidden="1" x14ac:dyDescent="0.3"/>
    <row r="2352" hidden="1" x14ac:dyDescent="0.3"/>
    <row r="2353" hidden="1" x14ac:dyDescent="0.3"/>
    <row r="2354" hidden="1" x14ac:dyDescent="0.3"/>
    <row r="2355" hidden="1" x14ac:dyDescent="0.3"/>
    <row r="2356" hidden="1" x14ac:dyDescent="0.3"/>
    <row r="2357" hidden="1" x14ac:dyDescent="0.3"/>
    <row r="2358" hidden="1" x14ac:dyDescent="0.3"/>
    <row r="2359" hidden="1" x14ac:dyDescent="0.3"/>
    <row r="2360" hidden="1" x14ac:dyDescent="0.3"/>
    <row r="2361" hidden="1" x14ac:dyDescent="0.3"/>
    <row r="2362" hidden="1" x14ac:dyDescent="0.3"/>
    <row r="2363" hidden="1" x14ac:dyDescent="0.3"/>
    <row r="2364" hidden="1" x14ac:dyDescent="0.3"/>
    <row r="2365" hidden="1" x14ac:dyDescent="0.3"/>
    <row r="2366" hidden="1" x14ac:dyDescent="0.3"/>
    <row r="2367" hidden="1" x14ac:dyDescent="0.3"/>
    <row r="2368" hidden="1" x14ac:dyDescent="0.3"/>
    <row r="2369" hidden="1" x14ac:dyDescent="0.3"/>
    <row r="2370" hidden="1" x14ac:dyDescent="0.3"/>
    <row r="2371" hidden="1" x14ac:dyDescent="0.3"/>
    <row r="2372" hidden="1" x14ac:dyDescent="0.3"/>
    <row r="2373" hidden="1" x14ac:dyDescent="0.3"/>
    <row r="2374" hidden="1" x14ac:dyDescent="0.3"/>
    <row r="2375" hidden="1" x14ac:dyDescent="0.3"/>
    <row r="2376" hidden="1" x14ac:dyDescent="0.3"/>
    <row r="2377" hidden="1" x14ac:dyDescent="0.3"/>
    <row r="2378" hidden="1" x14ac:dyDescent="0.3"/>
    <row r="2379" hidden="1" x14ac:dyDescent="0.3"/>
    <row r="2380" hidden="1" x14ac:dyDescent="0.3"/>
    <row r="2381" hidden="1" x14ac:dyDescent="0.3"/>
    <row r="2382" hidden="1" x14ac:dyDescent="0.3"/>
    <row r="2383" hidden="1" x14ac:dyDescent="0.3"/>
    <row r="2384" hidden="1" x14ac:dyDescent="0.3"/>
    <row r="2385" hidden="1" x14ac:dyDescent="0.3"/>
    <row r="2386" hidden="1" x14ac:dyDescent="0.3"/>
    <row r="2387" hidden="1" x14ac:dyDescent="0.3"/>
    <row r="2388" hidden="1" x14ac:dyDescent="0.3"/>
    <row r="2389" hidden="1" x14ac:dyDescent="0.3"/>
    <row r="2390" hidden="1" x14ac:dyDescent="0.3"/>
    <row r="2391" hidden="1" x14ac:dyDescent="0.3"/>
    <row r="2392" hidden="1" x14ac:dyDescent="0.3"/>
    <row r="2393" hidden="1" x14ac:dyDescent="0.3"/>
    <row r="2394" hidden="1" x14ac:dyDescent="0.3"/>
    <row r="2395" hidden="1" x14ac:dyDescent="0.3"/>
    <row r="2396" hidden="1" x14ac:dyDescent="0.3"/>
    <row r="2397" hidden="1" x14ac:dyDescent="0.3"/>
    <row r="2398" hidden="1" x14ac:dyDescent="0.3"/>
    <row r="2399" hidden="1" x14ac:dyDescent="0.3"/>
    <row r="2400" hidden="1" x14ac:dyDescent="0.3"/>
    <row r="2401" hidden="1" x14ac:dyDescent="0.3"/>
    <row r="2402" hidden="1" x14ac:dyDescent="0.3"/>
    <row r="2403" hidden="1" x14ac:dyDescent="0.3"/>
    <row r="2404" hidden="1" x14ac:dyDescent="0.3"/>
    <row r="2405" hidden="1" x14ac:dyDescent="0.3"/>
    <row r="2406" hidden="1" x14ac:dyDescent="0.3"/>
    <row r="2407" hidden="1" x14ac:dyDescent="0.3"/>
    <row r="2408" hidden="1" x14ac:dyDescent="0.3"/>
    <row r="2409" hidden="1" x14ac:dyDescent="0.3"/>
    <row r="2410" hidden="1" x14ac:dyDescent="0.3"/>
    <row r="2411" hidden="1" x14ac:dyDescent="0.3"/>
    <row r="2412" hidden="1" x14ac:dyDescent="0.3"/>
    <row r="2413" hidden="1" x14ac:dyDescent="0.3"/>
    <row r="2414" hidden="1" x14ac:dyDescent="0.3"/>
    <row r="2415" hidden="1" x14ac:dyDescent="0.3"/>
    <row r="2416" hidden="1" x14ac:dyDescent="0.3"/>
    <row r="2417" hidden="1" x14ac:dyDescent="0.3"/>
    <row r="2418" hidden="1" x14ac:dyDescent="0.3"/>
    <row r="2419" hidden="1" x14ac:dyDescent="0.3"/>
    <row r="2420" hidden="1" x14ac:dyDescent="0.3"/>
    <row r="2421" hidden="1" x14ac:dyDescent="0.3"/>
    <row r="2422" hidden="1" x14ac:dyDescent="0.3"/>
    <row r="2423" hidden="1" x14ac:dyDescent="0.3"/>
    <row r="2424" hidden="1" x14ac:dyDescent="0.3"/>
    <row r="2425" hidden="1" x14ac:dyDescent="0.3"/>
    <row r="2426" hidden="1" x14ac:dyDescent="0.3"/>
    <row r="2427" hidden="1" x14ac:dyDescent="0.3"/>
    <row r="2428" hidden="1" x14ac:dyDescent="0.3"/>
    <row r="2429" hidden="1" x14ac:dyDescent="0.3"/>
    <row r="2430" hidden="1" x14ac:dyDescent="0.3"/>
    <row r="2431" hidden="1" x14ac:dyDescent="0.3"/>
    <row r="2432" hidden="1" x14ac:dyDescent="0.3"/>
    <row r="2433" hidden="1" x14ac:dyDescent="0.3"/>
    <row r="2434" hidden="1" x14ac:dyDescent="0.3"/>
    <row r="2435" hidden="1" x14ac:dyDescent="0.3"/>
    <row r="2436" hidden="1" x14ac:dyDescent="0.3"/>
    <row r="2437" hidden="1" x14ac:dyDescent="0.3"/>
    <row r="2438" hidden="1" x14ac:dyDescent="0.3"/>
    <row r="2439" hidden="1" x14ac:dyDescent="0.3"/>
    <row r="2440" hidden="1" x14ac:dyDescent="0.3"/>
    <row r="2441" hidden="1" x14ac:dyDescent="0.3"/>
    <row r="2442" hidden="1" x14ac:dyDescent="0.3"/>
    <row r="2443" hidden="1" x14ac:dyDescent="0.3"/>
    <row r="2444" hidden="1" x14ac:dyDescent="0.3"/>
    <row r="2445" hidden="1" x14ac:dyDescent="0.3"/>
    <row r="2446" hidden="1" x14ac:dyDescent="0.3"/>
    <row r="2447" hidden="1" x14ac:dyDescent="0.3"/>
    <row r="2448" hidden="1" x14ac:dyDescent="0.3"/>
    <row r="2449" hidden="1" x14ac:dyDescent="0.3"/>
    <row r="2450" hidden="1" x14ac:dyDescent="0.3"/>
    <row r="2451" hidden="1" x14ac:dyDescent="0.3"/>
    <row r="2452" hidden="1" x14ac:dyDescent="0.3"/>
    <row r="2453" hidden="1" x14ac:dyDescent="0.3"/>
    <row r="2454" hidden="1" x14ac:dyDescent="0.3"/>
    <row r="2455" hidden="1" x14ac:dyDescent="0.3"/>
    <row r="2456" hidden="1" x14ac:dyDescent="0.3"/>
    <row r="2457" hidden="1" x14ac:dyDescent="0.3"/>
    <row r="2458" hidden="1" x14ac:dyDescent="0.3"/>
    <row r="2459" hidden="1" x14ac:dyDescent="0.3"/>
    <row r="2460" hidden="1" x14ac:dyDescent="0.3"/>
    <row r="2461" hidden="1" x14ac:dyDescent="0.3"/>
    <row r="2462" hidden="1" x14ac:dyDescent="0.3"/>
    <row r="2463" hidden="1" x14ac:dyDescent="0.3"/>
    <row r="2464" hidden="1" x14ac:dyDescent="0.3"/>
    <row r="2465" hidden="1" x14ac:dyDescent="0.3"/>
    <row r="2466" hidden="1" x14ac:dyDescent="0.3"/>
    <row r="2467" hidden="1" x14ac:dyDescent="0.3"/>
    <row r="2468" hidden="1" x14ac:dyDescent="0.3"/>
    <row r="2469" hidden="1" x14ac:dyDescent="0.3"/>
    <row r="2470" hidden="1" x14ac:dyDescent="0.3"/>
    <row r="2471" hidden="1" x14ac:dyDescent="0.3"/>
    <row r="2472" hidden="1" x14ac:dyDescent="0.3"/>
    <row r="2473" hidden="1" x14ac:dyDescent="0.3"/>
    <row r="2474" hidden="1" x14ac:dyDescent="0.3"/>
    <row r="2475" hidden="1" x14ac:dyDescent="0.3"/>
    <row r="2476" hidden="1" x14ac:dyDescent="0.3"/>
    <row r="2477" hidden="1" x14ac:dyDescent="0.3"/>
    <row r="2478" hidden="1" x14ac:dyDescent="0.3"/>
    <row r="2479" hidden="1" x14ac:dyDescent="0.3"/>
    <row r="2480" hidden="1" x14ac:dyDescent="0.3"/>
    <row r="2481" hidden="1" x14ac:dyDescent="0.3"/>
    <row r="2482" hidden="1" x14ac:dyDescent="0.3"/>
    <row r="2483" hidden="1" x14ac:dyDescent="0.3"/>
    <row r="2484" hidden="1" x14ac:dyDescent="0.3"/>
    <row r="2485" hidden="1" x14ac:dyDescent="0.3"/>
    <row r="2486" hidden="1" x14ac:dyDescent="0.3"/>
    <row r="2487" hidden="1" x14ac:dyDescent="0.3"/>
    <row r="2488" hidden="1" x14ac:dyDescent="0.3"/>
    <row r="2489" hidden="1" x14ac:dyDescent="0.3"/>
    <row r="2490" hidden="1" x14ac:dyDescent="0.3"/>
    <row r="2491" hidden="1" x14ac:dyDescent="0.3"/>
    <row r="2492" hidden="1" x14ac:dyDescent="0.3"/>
    <row r="2493" hidden="1" x14ac:dyDescent="0.3"/>
    <row r="2494" hidden="1" x14ac:dyDescent="0.3"/>
    <row r="2495" hidden="1" x14ac:dyDescent="0.3"/>
    <row r="2496" hidden="1" x14ac:dyDescent="0.3"/>
    <row r="2497" hidden="1" x14ac:dyDescent="0.3"/>
    <row r="2498" hidden="1" x14ac:dyDescent="0.3"/>
    <row r="2499" hidden="1" x14ac:dyDescent="0.3"/>
    <row r="2500" hidden="1" x14ac:dyDescent="0.3"/>
    <row r="2501" hidden="1" x14ac:dyDescent="0.3"/>
    <row r="2502" hidden="1" x14ac:dyDescent="0.3"/>
    <row r="2503" hidden="1" x14ac:dyDescent="0.3"/>
    <row r="2504" hidden="1" x14ac:dyDescent="0.3"/>
    <row r="2505" hidden="1" x14ac:dyDescent="0.3"/>
    <row r="2506" hidden="1" x14ac:dyDescent="0.3"/>
    <row r="2507" hidden="1" x14ac:dyDescent="0.3"/>
    <row r="2508" hidden="1" x14ac:dyDescent="0.3"/>
    <row r="2509" hidden="1" x14ac:dyDescent="0.3"/>
    <row r="2510" hidden="1" x14ac:dyDescent="0.3"/>
    <row r="2511" hidden="1" x14ac:dyDescent="0.3"/>
    <row r="2512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hidden="1" x14ac:dyDescent="0.3"/>
    <row r="2530" hidden="1" x14ac:dyDescent="0.3"/>
    <row r="2531" hidden="1" x14ac:dyDescent="0.3"/>
    <row r="2532" hidden="1" x14ac:dyDescent="0.3"/>
    <row r="2533" hidden="1" x14ac:dyDescent="0.3"/>
    <row r="2534" hidden="1" x14ac:dyDescent="0.3"/>
    <row r="2535" hidden="1" x14ac:dyDescent="0.3"/>
    <row r="2536" hidden="1" x14ac:dyDescent="0.3"/>
    <row r="2537" hidden="1" x14ac:dyDescent="0.3"/>
    <row r="2538" hidden="1" x14ac:dyDescent="0.3"/>
    <row r="2539" hidden="1" x14ac:dyDescent="0.3"/>
    <row r="2540" hidden="1" x14ac:dyDescent="0.3"/>
    <row r="2541" hidden="1" x14ac:dyDescent="0.3"/>
    <row r="2542" hidden="1" x14ac:dyDescent="0.3"/>
    <row r="2543" hidden="1" x14ac:dyDescent="0.3"/>
    <row r="2544" hidden="1" x14ac:dyDescent="0.3"/>
    <row r="2545" hidden="1" x14ac:dyDescent="0.3"/>
    <row r="2546" hidden="1" x14ac:dyDescent="0.3"/>
    <row r="2547" hidden="1" x14ac:dyDescent="0.3"/>
    <row r="2548" hidden="1" x14ac:dyDescent="0.3"/>
    <row r="2549" hidden="1" x14ac:dyDescent="0.3"/>
    <row r="2550" hidden="1" x14ac:dyDescent="0.3"/>
    <row r="2551" hidden="1" x14ac:dyDescent="0.3"/>
    <row r="2552" hidden="1" x14ac:dyDescent="0.3"/>
    <row r="2553" hidden="1" x14ac:dyDescent="0.3"/>
    <row r="2554" hidden="1" x14ac:dyDescent="0.3"/>
    <row r="2555" hidden="1" x14ac:dyDescent="0.3"/>
    <row r="2556" hidden="1" x14ac:dyDescent="0.3"/>
    <row r="2557" hidden="1" x14ac:dyDescent="0.3"/>
    <row r="2558" hidden="1" x14ac:dyDescent="0.3"/>
    <row r="2559" hidden="1" x14ac:dyDescent="0.3"/>
    <row r="2560" hidden="1" x14ac:dyDescent="0.3"/>
    <row r="2561" hidden="1" x14ac:dyDescent="0.3"/>
    <row r="2562" hidden="1" x14ac:dyDescent="0.3"/>
    <row r="2563" hidden="1" x14ac:dyDescent="0.3"/>
    <row r="2564" hidden="1" x14ac:dyDescent="0.3"/>
    <row r="2565" hidden="1" x14ac:dyDescent="0.3"/>
    <row r="2566" hidden="1" x14ac:dyDescent="0.3"/>
    <row r="2567" hidden="1" x14ac:dyDescent="0.3"/>
    <row r="2568" hidden="1" x14ac:dyDescent="0.3"/>
    <row r="2569" hidden="1" x14ac:dyDescent="0.3"/>
    <row r="2570" hidden="1" x14ac:dyDescent="0.3"/>
    <row r="2571" hidden="1" x14ac:dyDescent="0.3"/>
    <row r="2572" hidden="1" x14ac:dyDescent="0.3"/>
    <row r="2573" hidden="1" x14ac:dyDescent="0.3"/>
    <row r="2574" hidden="1" x14ac:dyDescent="0.3"/>
    <row r="2575" hidden="1" x14ac:dyDescent="0.3"/>
    <row r="2576" hidden="1" x14ac:dyDescent="0.3"/>
    <row r="2577" hidden="1" x14ac:dyDescent="0.3"/>
    <row r="2578" hidden="1" x14ac:dyDescent="0.3"/>
    <row r="2579" hidden="1" x14ac:dyDescent="0.3"/>
    <row r="2580" hidden="1" x14ac:dyDescent="0.3"/>
    <row r="2581" hidden="1" x14ac:dyDescent="0.3"/>
    <row r="2582" hidden="1" x14ac:dyDescent="0.3"/>
    <row r="2583" hidden="1" x14ac:dyDescent="0.3"/>
    <row r="2584" hidden="1" x14ac:dyDescent="0.3"/>
    <row r="2585" hidden="1" x14ac:dyDescent="0.3"/>
    <row r="2586" hidden="1" x14ac:dyDescent="0.3"/>
    <row r="2587" hidden="1" x14ac:dyDescent="0.3"/>
    <row r="2588" hidden="1" x14ac:dyDescent="0.3"/>
    <row r="2589" hidden="1" x14ac:dyDescent="0.3"/>
    <row r="2590" hidden="1" x14ac:dyDescent="0.3"/>
    <row r="2591" hidden="1" x14ac:dyDescent="0.3"/>
    <row r="2592" hidden="1" x14ac:dyDescent="0.3"/>
    <row r="2593" hidden="1" x14ac:dyDescent="0.3"/>
    <row r="2594" hidden="1" x14ac:dyDescent="0.3"/>
    <row r="2595" hidden="1" x14ac:dyDescent="0.3"/>
    <row r="2596" hidden="1" x14ac:dyDescent="0.3"/>
    <row r="2597" hidden="1" x14ac:dyDescent="0.3"/>
    <row r="2598" hidden="1" x14ac:dyDescent="0.3"/>
    <row r="2599" hidden="1" x14ac:dyDescent="0.3"/>
    <row r="2600" hidden="1" x14ac:dyDescent="0.3"/>
    <row r="2601" hidden="1" x14ac:dyDescent="0.3"/>
    <row r="2602" hidden="1" x14ac:dyDescent="0.3"/>
    <row r="2603" hidden="1" x14ac:dyDescent="0.3"/>
    <row r="2604" hidden="1" x14ac:dyDescent="0.3"/>
    <row r="2605" hidden="1" x14ac:dyDescent="0.3"/>
    <row r="2606" hidden="1" x14ac:dyDescent="0.3"/>
    <row r="2607" hidden="1" x14ac:dyDescent="0.3"/>
    <row r="2608" hidden="1" x14ac:dyDescent="0.3"/>
    <row r="2609" hidden="1" x14ac:dyDescent="0.3"/>
    <row r="2610" hidden="1" x14ac:dyDescent="0.3"/>
    <row r="2611" hidden="1" x14ac:dyDescent="0.3"/>
    <row r="2612" hidden="1" x14ac:dyDescent="0.3"/>
    <row r="2613" hidden="1" x14ac:dyDescent="0.3"/>
    <row r="2614" hidden="1" x14ac:dyDescent="0.3"/>
    <row r="2615" hidden="1" x14ac:dyDescent="0.3"/>
    <row r="2616" hidden="1" x14ac:dyDescent="0.3"/>
    <row r="2617" hidden="1" x14ac:dyDescent="0.3"/>
    <row r="2618" hidden="1" x14ac:dyDescent="0.3"/>
    <row r="2619" hidden="1" x14ac:dyDescent="0.3"/>
    <row r="2620" hidden="1" x14ac:dyDescent="0.3"/>
    <row r="2621" hidden="1" x14ac:dyDescent="0.3"/>
    <row r="2622" hidden="1" x14ac:dyDescent="0.3"/>
    <row r="2623" hidden="1" x14ac:dyDescent="0.3"/>
    <row r="2624" hidden="1" x14ac:dyDescent="0.3"/>
    <row r="2625" hidden="1" x14ac:dyDescent="0.3"/>
    <row r="2626" hidden="1" x14ac:dyDescent="0.3"/>
    <row r="2627" hidden="1" x14ac:dyDescent="0.3"/>
    <row r="2628" hidden="1" x14ac:dyDescent="0.3"/>
    <row r="2629" hidden="1" x14ac:dyDescent="0.3"/>
    <row r="2630" hidden="1" x14ac:dyDescent="0.3"/>
    <row r="2631" hidden="1" x14ac:dyDescent="0.3"/>
    <row r="2632" hidden="1" x14ac:dyDescent="0.3"/>
    <row r="2633" hidden="1" x14ac:dyDescent="0.3"/>
    <row r="2634" hidden="1" x14ac:dyDescent="0.3"/>
    <row r="2635" hidden="1" x14ac:dyDescent="0.3"/>
    <row r="2636" hidden="1" x14ac:dyDescent="0.3"/>
    <row r="2637" hidden="1" x14ac:dyDescent="0.3"/>
    <row r="2638" hidden="1" x14ac:dyDescent="0.3"/>
    <row r="2639" hidden="1" x14ac:dyDescent="0.3"/>
    <row r="2640" hidden="1" x14ac:dyDescent="0.3"/>
    <row r="2641" hidden="1" x14ac:dyDescent="0.3"/>
    <row r="2642" hidden="1" x14ac:dyDescent="0.3"/>
    <row r="2643" hidden="1" x14ac:dyDescent="0.3"/>
    <row r="2644" hidden="1" x14ac:dyDescent="0.3"/>
    <row r="2645" hidden="1" x14ac:dyDescent="0.3"/>
    <row r="2646" hidden="1" x14ac:dyDescent="0.3"/>
    <row r="2647" hidden="1" x14ac:dyDescent="0.3"/>
    <row r="2648" hidden="1" x14ac:dyDescent="0.3"/>
    <row r="2649" hidden="1" x14ac:dyDescent="0.3"/>
    <row r="2650" hidden="1" x14ac:dyDescent="0.3"/>
    <row r="2651" hidden="1" x14ac:dyDescent="0.3"/>
    <row r="2652" hidden="1" x14ac:dyDescent="0.3"/>
    <row r="2653" hidden="1" x14ac:dyDescent="0.3"/>
    <row r="2654" hidden="1" x14ac:dyDescent="0.3"/>
    <row r="2655" hidden="1" x14ac:dyDescent="0.3"/>
    <row r="2656" hidden="1" x14ac:dyDescent="0.3"/>
    <row r="2657" hidden="1" x14ac:dyDescent="0.3"/>
    <row r="2658" hidden="1" x14ac:dyDescent="0.3"/>
    <row r="2659" hidden="1" x14ac:dyDescent="0.3"/>
    <row r="2660" hidden="1" x14ac:dyDescent="0.3"/>
    <row r="2661" hidden="1" x14ac:dyDescent="0.3"/>
    <row r="2662" hidden="1" x14ac:dyDescent="0.3"/>
    <row r="2663" hidden="1" x14ac:dyDescent="0.3"/>
    <row r="2664" hidden="1" x14ac:dyDescent="0.3"/>
    <row r="2665" hidden="1" x14ac:dyDescent="0.3"/>
    <row r="2666" hidden="1" x14ac:dyDescent="0.3"/>
    <row r="2667" hidden="1" x14ac:dyDescent="0.3"/>
    <row r="2668" hidden="1" x14ac:dyDescent="0.3"/>
    <row r="2669" hidden="1" x14ac:dyDescent="0.3"/>
    <row r="2670" hidden="1" x14ac:dyDescent="0.3"/>
    <row r="2671" hidden="1" x14ac:dyDescent="0.3"/>
    <row r="2672" hidden="1" x14ac:dyDescent="0.3"/>
    <row r="2673" hidden="1" x14ac:dyDescent="0.3"/>
    <row r="2674" hidden="1" x14ac:dyDescent="0.3"/>
    <row r="2675" hidden="1" x14ac:dyDescent="0.3"/>
    <row r="2676" hidden="1" x14ac:dyDescent="0.3"/>
    <row r="2677" hidden="1" x14ac:dyDescent="0.3"/>
    <row r="2678" hidden="1" x14ac:dyDescent="0.3"/>
    <row r="2679" hidden="1" x14ac:dyDescent="0.3"/>
    <row r="2680" hidden="1" x14ac:dyDescent="0.3"/>
    <row r="2681" hidden="1" x14ac:dyDescent="0.3"/>
    <row r="2682" hidden="1" x14ac:dyDescent="0.3"/>
    <row r="2683" hidden="1" x14ac:dyDescent="0.3"/>
    <row r="2684" hidden="1" x14ac:dyDescent="0.3"/>
    <row r="2685" hidden="1" x14ac:dyDescent="0.3"/>
    <row r="2686" hidden="1" x14ac:dyDescent="0.3"/>
    <row r="2687" hidden="1" x14ac:dyDescent="0.3"/>
    <row r="2688" hidden="1" x14ac:dyDescent="0.3"/>
    <row r="2689" hidden="1" x14ac:dyDescent="0.3"/>
    <row r="2690" hidden="1" x14ac:dyDescent="0.3"/>
    <row r="2691" hidden="1" x14ac:dyDescent="0.3"/>
    <row r="2692" hidden="1" x14ac:dyDescent="0.3"/>
    <row r="2693" hidden="1" x14ac:dyDescent="0.3"/>
    <row r="2694" hidden="1" x14ac:dyDescent="0.3"/>
    <row r="2695" hidden="1" x14ac:dyDescent="0.3"/>
    <row r="2696" hidden="1" x14ac:dyDescent="0.3"/>
    <row r="2697" hidden="1" x14ac:dyDescent="0.3"/>
    <row r="2698" hidden="1" x14ac:dyDescent="0.3"/>
    <row r="2699" hidden="1" x14ac:dyDescent="0.3"/>
    <row r="2700" hidden="1" x14ac:dyDescent="0.3"/>
    <row r="2701" hidden="1" x14ac:dyDescent="0.3"/>
    <row r="2702" hidden="1" x14ac:dyDescent="0.3"/>
    <row r="2703" hidden="1" x14ac:dyDescent="0.3"/>
    <row r="2704" hidden="1" x14ac:dyDescent="0.3"/>
    <row r="2705" hidden="1" x14ac:dyDescent="0.3"/>
    <row r="2706" hidden="1" x14ac:dyDescent="0.3"/>
    <row r="2707" hidden="1" x14ac:dyDescent="0.3"/>
    <row r="2708" hidden="1" x14ac:dyDescent="0.3"/>
    <row r="2709" hidden="1" x14ac:dyDescent="0.3"/>
    <row r="2710" hidden="1" x14ac:dyDescent="0.3"/>
    <row r="2711" hidden="1" x14ac:dyDescent="0.3"/>
    <row r="2712" hidden="1" x14ac:dyDescent="0.3"/>
    <row r="2713" hidden="1" x14ac:dyDescent="0.3"/>
    <row r="2714" hidden="1" x14ac:dyDescent="0.3"/>
    <row r="2715" hidden="1" x14ac:dyDescent="0.3"/>
    <row r="2716" hidden="1" x14ac:dyDescent="0.3"/>
    <row r="2717" hidden="1" x14ac:dyDescent="0.3"/>
    <row r="2718" hidden="1" x14ac:dyDescent="0.3"/>
    <row r="2719" hidden="1" x14ac:dyDescent="0.3"/>
    <row r="2720" hidden="1" x14ac:dyDescent="0.3"/>
    <row r="2721" hidden="1" x14ac:dyDescent="0.3"/>
    <row r="2722" hidden="1" x14ac:dyDescent="0.3"/>
    <row r="2723" hidden="1" x14ac:dyDescent="0.3"/>
    <row r="2724" hidden="1" x14ac:dyDescent="0.3"/>
    <row r="2725" hidden="1" x14ac:dyDescent="0.3"/>
    <row r="2726" hidden="1" x14ac:dyDescent="0.3"/>
    <row r="2727" hidden="1" x14ac:dyDescent="0.3"/>
    <row r="2728" hidden="1" x14ac:dyDescent="0.3"/>
    <row r="2729" hidden="1" x14ac:dyDescent="0.3"/>
    <row r="2730" hidden="1" x14ac:dyDescent="0.3"/>
    <row r="2731" hidden="1" x14ac:dyDescent="0.3"/>
    <row r="2732" hidden="1" x14ac:dyDescent="0.3"/>
    <row r="2733" hidden="1" x14ac:dyDescent="0.3"/>
    <row r="2734" hidden="1" x14ac:dyDescent="0.3"/>
    <row r="2735" hidden="1" x14ac:dyDescent="0.3"/>
    <row r="2736" hidden="1" x14ac:dyDescent="0.3"/>
    <row r="2737" hidden="1" x14ac:dyDescent="0.3"/>
    <row r="2738" hidden="1" x14ac:dyDescent="0.3"/>
    <row r="2739" hidden="1" x14ac:dyDescent="0.3"/>
    <row r="2740" hidden="1" x14ac:dyDescent="0.3"/>
    <row r="2741" hidden="1" x14ac:dyDescent="0.3"/>
    <row r="2742" hidden="1" x14ac:dyDescent="0.3"/>
    <row r="2743" hidden="1" x14ac:dyDescent="0.3"/>
    <row r="2744" hidden="1" x14ac:dyDescent="0.3"/>
    <row r="2745" hidden="1" x14ac:dyDescent="0.3"/>
    <row r="2746" hidden="1" x14ac:dyDescent="0.3"/>
    <row r="2747" hidden="1" x14ac:dyDescent="0.3"/>
    <row r="2748" hidden="1" x14ac:dyDescent="0.3"/>
    <row r="2749" hidden="1" x14ac:dyDescent="0.3"/>
    <row r="2750" hidden="1" x14ac:dyDescent="0.3"/>
    <row r="2751" hidden="1" x14ac:dyDescent="0.3"/>
    <row r="2752" hidden="1" x14ac:dyDescent="0.3"/>
    <row r="2753" hidden="1" x14ac:dyDescent="0.3"/>
    <row r="2754" hidden="1" x14ac:dyDescent="0.3"/>
    <row r="2755" hidden="1" x14ac:dyDescent="0.3"/>
    <row r="2756" hidden="1" x14ac:dyDescent="0.3"/>
    <row r="2757" hidden="1" x14ac:dyDescent="0.3"/>
    <row r="2758" hidden="1" x14ac:dyDescent="0.3"/>
    <row r="2759" hidden="1" x14ac:dyDescent="0.3"/>
    <row r="2760" hidden="1" x14ac:dyDescent="0.3"/>
    <row r="2761" hidden="1" x14ac:dyDescent="0.3"/>
    <row r="2762" hidden="1" x14ac:dyDescent="0.3"/>
    <row r="2763" hidden="1" x14ac:dyDescent="0.3"/>
    <row r="2764" hidden="1" x14ac:dyDescent="0.3"/>
    <row r="2765" hidden="1" x14ac:dyDescent="0.3"/>
    <row r="2766" hidden="1" x14ac:dyDescent="0.3"/>
    <row r="2767" hidden="1" x14ac:dyDescent="0.3"/>
    <row r="2768" hidden="1" x14ac:dyDescent="0.3"/>
    <row r="2769" hidden="1" x14ac:dyDescent="0.3"/>
    <row r="2770" hidden="1" x14ac:dyDescent="0.3"/>
    <row r="2771" hidden="1" x14ac:dyDescent="0.3"/>
    <row r="2772" hidden="1" x14ac:dyDescent="0.3"/>
    <row r="2773" hidden="1" x14ac:dyDescent="0.3"/>
    <row r="2774" hidden="1" x14ac:dyDescent="0.3"/>
    <row r="2775" hidden="1" x14ac:dyDescent="0.3"/>
    <row r="2776" hidden="1" x14ac:dyDescent="0.3"/>
    <row r="2777" hidden="1" x14ac:dyDescent="0.3"/>
    <row r="2778" hidden="1" x14ac:dyDescent="0.3"/>
    <row r="2779" hidden="1" x14ac:dyDescent="0.3"/>
    <row r="2780" hidden="1" x14ac:dyDescent="0.3"/>
    <row r="2781" hidden="1" x14ac:dyDescent="0.3"/>
    <row r="2782" hidden="1" x14ac:dyDescent="0.3"/>
    <row r="2783" hidden="1" x14ac:dyDescent="0.3"/>
    <row r="2784" hidden="1" x14ac:dyDescent="0.3"/>
    <row r="2785" hidden="1" x14ac:dyDescent="0.3"/>
    <row r="2786" hidden="1" x14ac:dyDescent="0.3"/>
    <row r="2787" hidden="1" x14ac:dyDescent="0.3"/>
    <row r="2788" hidden="1" x14ac:dyDescent="0.3"/>
    <row r="2789" hidden="1" x14ac:dyDescent="0.3"/>
    <row r="2790" hidden="1" x14ac:dyDescent="0.3"/>
    <row r="2791" hidden="1" x14ac:dyDescent="0.3"/>
    <row r="2792" hidden="1" x14ac:dyDescent="0.3"/>
    <row r="2793" hidden="1" x14ac:dyDescent="0.3"/>
    <row r="2794" hidden="1" x14ac:dyDescent="0.3"/>
    <row r="2795" hidden="1" x14ac:dyDescent="0.3"/>
    <row r="2796" hidden="1" x14ac:dyDescent="0.3"/>
    <row r="2797" hidden="1" x14ac:dyDescent="0.3"/>
    <row r="2798" hidden="1" x14ac:dyDescent="0.3"/>
    <row r="2799" hidden="1" x14ac:dyDescent="0.3"/>
    <row r="2800" hidden="1" x14ac:dyDescent="0.3"/>
    <row r="2801" hidden="1" x14ac:dyDescent="0.3"/>
    <row r="2802" hidden="1" x14ac:dyDescent="0.3"/>
    <row r="2803" hidden="1" x14ac:dyDescent="0.3"/>
    <row r="2804" hidden="1" x14ac:dyDescent="0.3"/>
    <row r="2805" hidden="1" x14ac:dyDescent="0.3"/>
    <row r="2806" hidden="1" x14ac:dyDescent="0.3"/>
    <row r="2807" hidden="1" x14ac:dyDescent="0.3"/>
    <row r="2808" hidden="1" x14ac:dyDescent="0.3"/>
    <row r="2809" hidden="1" x14ac:dyDescent="0.3"/>
    <row r="2810" hidden="1" x14ac:dyDescent="0.3"/>
    <row r="2811" hidden="1" x14ac:dyDescent="0.3"/>
    <row r="2812" hidden="1" x14ac:dyDescent="0.3"/>
    <row r="2813" hidden="1" x14ac:dyDescent="0.3"/>
    <row r="2814" hidden="1" x14ac:dyDescent="0.3"/>
    <row r="2815" hidden="1" x14ac:dyDescent="0.3"/>
    <row r="2816" hidden="1" x14ac:dyDescent="0.3"/>
    <row r="2817" hidden="1" x14ac:dyDescent="0.3"/>
    <row r="2818" hidden="1" x14ac:dyDescent="0.3"/>
    <row r="2819" hidden="1" x14ac:dyDescent="0.3"/>
    <row r="2820" hidden="1" x14ac:dyDescent="0.3"/>
    <row r="2821" hidden="1" x14ac:dyDescent="0.3"/>
    <row r="2822" hidden="1" x14ac:dyDescent="0.3"/>
    <row r="2823" hidden="1" x14ac:dyDescent="0.3"/>
    <row r="2824" hidden="1" x14ac:dyDescent="0.3"/>
    <row r="2825" hidden="1" x14ac:dyDescent="0.3"/>
    <row r="2826" hidden="1" x14ac:dyDescent="0.3"/>
    <row r="2827" hidden="1" x14ac:dyDescent="0.3"/>
    <row r="2828" hidden="1" x14ac:dyDescent="0.3"/>
    <row r="2829" hidden="1" x14ac:dyDescent="0.3"/>
    <row r="2830" hidden="1" x14ac:dyDescent="0.3"/>
    <row r="2831" hidden="1" x14ac:dyDescent="0.3"/>
    <row r="2832" hidden="1" x14ac:dyDescent="0.3"/>
    <row r="2833" hidden="1" x14ac:dyDescent="0.3"/>
    <row r="2834" hidden="1" x14ac:dyDescent="0.3"/>
    <row r="2835" hidden="1" x14ac:dyDescent="0.3"/>
    <row r="2836" hidden="1" x14ac:dyDescent="0.3"/>
    <row r="2837" hidden="1" x14ac:dyDescent="0.3"/>
    <row r="2838" hidden="1" x14ac:dyDescent="0.3"/>
    <row r="2839" hidden="1" x14ac:dyDescent="0.3"/>
    <row r="2840" hidden="1" x14ac:dyDescent="0.3"/>
    <row r="2841" hidden="1" x14ac:dyDescent="0.3"/>
    <row r="2842" hidden="1" x14ac:dyDescent="0.3"/>
    <row r="2843" hidden="1" x14ac:dyDescent="0.3"/>
    <row r="2844" hidden="1" x14ac:dyDescent="0.3"/>
    <row r="2845" hidden="1" x14ac:dyDescent="0.3"/>
    <row r="2846" hidden="1" x14ac:dyDescent="0.3"/>
    <row r="2847" hidden="1" x14ac:dyDescent="0.3"/>
    <row r="2848" hidden="1" x14ac:dyDescent="0.3"/>
    <row r="2849" hidden="1" x14ac:dyDescent="0.3"/>
    <row r="2850" hidden="1" x14ac:dyDescent="0.3"/>
    <row r="2851" hidden="1" x14ac:dyDescent="0.3"/>
    <row r="2852" hidden="1" x14ac:dyDescent="0.3"/>
    <row r="2853" hidden="1" x14ac:dyDescent="0.3"/>
    <row r="2854" hidden="1" x14ac:dyDescent="0.3"/>
    <row r="2855" hidden="1" x14ac:dyDescent="0.3"/>
    <row r="2856" hidden="1" x14ac:dyDescent="0.3"/>
    <row r="2857" hidden="1" x14ac:dyDescent="0.3"/>
    <row r="2858" hidden="1" x14ac:dyDescent="0.3"/>
    <row r="2859" hidden="1" x14ac:dyDescent="0.3"/>
    <row r="2860" hidden="1" x14ac:dyDescent="0.3"/>
    <row r="2861" hidden="1" x14ac:dyDescent="0.3"/>
    <row r="2862" hidden="1" x14ac:dyDescent="0.3"/>
    <row r="2863" hidden="1" x14ac:dyDescent="0.3"/>
    <row r="2864" hidden="1" x14ac:dyDescent="0.3"/>
    <row r="2865" hidden="1" x14ac:dyDescent="0.3"/>
    <row r="2866" hidden="1" x14ac:dyDescent="0.3"/>
    <row r="2867" hidden="1" x14ac:dyDescent="0.3"/>
    <row r="2868" hidden="1" x14ac:dyDescent="0.3"/>
    <row r="2869" hidden="1" x14ac:dyDescent="0.3"/>
    <row r="2870" hidden="1" x14ac:dyDescent="0.3"/>
    <row r="2871" hidden="1" x14ac:dyDescent="0.3"/>
    <row r="2872" hidden="1" x14ac:dyDescent="0.3"/>
    <row r="2873" hidden="1" x14ac:dyDescent="0.3"/>
    <row r="2874" hidden="1" x14ac:dyDescent="0.3"/>
    <row r="2875" hidden="1" x14ac:dyDescent="0.3"/>
    <row r="2876" hidden="1" x14ac:dyDescent="0.3"/>
    <row r="2877" hidden="1" x14ac:dyDescent="0.3"/>
    <row r="2878" hidden="1" x14ac:dyDescent="0.3"/>
    <row r="2879" hidden="1" x14ac:dyDescent="0.3"/>
    <row r="2880" hidden="1" x14ac:dyDescent="0.3"/>
    <row r="2881" hidden="1" x14ac:dyDescent="0.3"/>
    <row r="2882" hidden="1" x14ac:dyDescent="0.3"/>
    <row r="2883" hidden="1" x14ac:dyDescent="0.3"/>
    <row r="2884" hidden="1" x14ac:dyDescent="0.3"/>
    <row r="2885" hidden="1" x14ac:dyDescent="0.3"/>
    <row r="2886" hidden="1" x14ac:dyDescent="0.3"/>
    <row r="2887" hidden="1" x14ac:dyDescent="0.3"/>
    <row r="2888" hidden="1" x14ac:dyDescent="0.3"/>
    <row r="2889" hidden="1" x14ac:dyDescent="0.3"/>
    <row r="2890" hidden="1" x14ac:dyDescent="0.3"/>
    <row r="2891" hidden="1" x14ac:dyDescent="0.3"/>
    <row r="2892" hidden="1" x14ac:dyDescent="0.3"/>
    <row r="2893" hidden="1" x14ac:dyDescent="0.3"/>
    <row r="2894" hidden="1" x14ac:dyDescent="0.3"/>
    <row r="2895" hidden="1" x14ac:dyDescent="0.3"/>
    <row r="2896" hidden="1" x14ac:dyDescent="0.3"/>
    <row r="2897" hidden="1" x14ac:dyDescent="0.3"/>
    <row r="2898" hidden="1" x14ac:dyDescent="0.3"/>
    <row r="2899" hidden="1" x14ac:dyDescent="0.3"/>
    <row r="2900" hidden="1" x14ac:dyDescent="0.3"/>
    <row r="2901" hidden="1" x14ac:dyDescent="0.3"/>
    <row r="2902" hidden="1" x14ac:dyDescent="0.3"/>
    <row r="2903" hidden="1" x14ac:dyDescent="0.3"/>
    <row r="2904" hidden="1" x14ac:dyDescent="0.3"/>
    <row r="2905" hidden="1" x14ac:dyDescent="0.3"/>
    <row r="2906" hidden="1" x14ac:dyDescent="0.3"/>
    <row r="2907" hidden="1" x14ac:dyDescent="0.3"/>
    <row r="2908" hidden="1" x14ac:dyDescent="0.3"/>
    <row r="2909" hidden="1" x14ac:dyDescent="0.3"/>
    <row r="2910" hidden="1" x14ac:dyDescent="0.3"/>
    <row r="2911" hidden="1" x14ac:dyDescent="0.3"/>
    <row r="2912" hidden="1" x14ac:dyDescent="0.3"/>
    <row r="2913" hidden="1" x14ac:dyDescent="0.3"/>
    <row r="2914" hidden="1" x14ac:dyDescent="0.3"/>
    <row r="2915" hidden="1" x14ac:dyDescent="0.3"/>
    <row r="2916" hidden="1" x14ac:dyDescent="0.3"/>
    <row r="2917" hidden="1" x14ac:dyDescent="0.3"/>
    <row r="2918" hidden="1" x14ac:dyDescent="0.3"/>
    <row r="2919" hidden="1" x14ac:dyDescent="0.3"/>
    <row r="2920" hidden="1" x14ac:dyDescent="0.3"/>
    <row r="2921" hidden="1" x14ac:dyDescent="0.3"/>
    <row r="2922" hidden="1" x14ac:dyDescent="0.3"/>
    <row r="2923" hidden="1" x14ac:dyDescent="0.3"/>
    <row r="2924" hidden="1" x14ac:dyDescent="0.3"/>
    <row r="2925" hidden="1" x14ac:dyDescent="0.3"/>
    <row r="2926" hidden="1" x14ac:dyDescent="0.3"/>
    <row r="2927" hidden="1" x14ac:dyDescent="0.3"/>
    <row r="2928" hidden="1" x14ac:dyDescent="0.3"/>
    <row r="2929" hidden="1" x14ac:dyDescent="0.3"/>
    <row r="2930" hidden="1" x14ac:dyDescent="0.3"/>
    <row r="2931" hidden="1" x14ac:dyDescent="0.3"/>
    <row r="2932" hidden="1" x14ac:dyDescent="0.3"/>
    <row r="2933" hidden="1" x14ac:dyDescent="0.3"/>
    <row r="2934" hidden="1" x14ac:dyDescent="0.3"/>
    <row r="2935" hidden="1" x14ac:dyDescent="0.3"/>
    <row r="2936" hidden="1" x14ac:dyDescent="0.3"/>
    <row r="2937" hidden="1" x14ac:dyDescent="0.3"/>
    <row r="2938" hidden="1" x14ac:dyDescent="0.3"/>
    <row r="2939" hidden="1" x14ac:dyDescent="0.3"/>
    <row r="2940" hidden="1" x14ac:dyDescent="0.3"/>
    <row r="2941" hidden="1" x14ac:dyDescent="0.3"/>
    <row r="2942" hidden="1" x14ac:dyDescent="0.3"/>
    <row r="2943" hidden="1" x14ac:dyDescent="0.3"/>
    <row r="2944" hidden="1" x14ac:dyDescent="0.3"/>
    <row r="2945" hidden="1" x14ac:dyDescent="0.3"/>
    <row r="2946" hidden="1" x14ac:dyDescent="0.3"/>
    <row r="2947" hidden="1" x14ac:dyDescent="0.3"/>
    <row r="2948" hidden="1" x14ac:dyDescent="0.3"/>
    <row r="2949" hidden="1" x14ac:dyDescent="0.3"/>
    <row r="2950" hidden="1" x14ac:dyDescent="0.3"/>
    <row r="2951" hidden="1" x14ac:dyDescent="0.3"/>
    <row r="2952" hidden="1" x14ac:dyDescent="0.3"/>
    <row r="2953" hidden="1" x14ac:dyDescent="0.3"/>
    <row r="2954" hidden="1" x14ac:dyDescent="0.3"/>
    <row r="2955" hidden="1" x14ac:dyDescent="0.3"/>
    <row r="2956" hidden="1" x14ac:dyDescent="0.3"/>
    <row r="2957" hidden="1" x14ac:dyDescent="0.3"/>
    <row r="2958" hidden="1" x14ac:dyDescent="0.3"/>
    <row r="2959" hidden="1" x14ac:dyDescent="0.3"/>
    <row r="2960" hidden="1" x14ac:dyDescent="0.3"/>
    <row r="2961" hidden="1" x14ac:dyDescent="0.3"/>
    <row r="2962" hidden="1" x14ac:dyDescent="0.3"/>
    <row r="2963" hidden="1" x14ac:dyDescent="0.3"/>
    <row r="2964" hidden="1" x14ac:dyDescent="0.3"/>
    <row r="2965" hidden="1" x14ac:dyDescent="0.3"/>
    <row r="2966" hidden="1" x14ac:dyDescent="0.3"/>
    <row r="2967" hidden="1" x14ac:dyDescent="0.3"/>
    <row r="2968" hidden="1" x14ac:dyDescent="0.3"/>
    <row r="2969" hidden="1" x14ac:dyDescent="0.3"/>
    <row r="2970" hidden="1" x14ac:dyDescent="0.3"/>
    <row r="2971" hidden="1" x14ac:dyDescent="0.3"/>
    <row r="2972" hidden="1" x14ac:dyDescent="0.3"/>
    <row r="2973" hidden="1" x14ac:dyDescent="0.3"/>
    <row r="2974" hidden="1" x14ac:dyDescent="0.3"/>
    <row r="2975" hidden="1" x14ac:dyDescent="0.3"/>
    <row r="2976" hidden="1" x14ac:dyDescent="0.3"/>
    <row r="2977" hidden="1" x14ac:dyDescent="0.3"/>
    <row r="2978" hidden="1" x14ac:dyDescent="0.3"/>
    <row r="2979" hidden="1" x14ac:dyDescent="0.3"/>
    <row r="2980" hidden="1" x14ac:dyDescent="0.3"/>
    <row r="2981" hidden="1" x14ac:dyDescent="0.3"/>
    <row r="2982" hidden="1" x14ac:dyDescent="0.3"/>
    <row r="2983" hidden="1" x14ac:dyDescent="0.3"/>
    <row r="2984" hidden="1" x14ac:dyDescent="0.3"/>
    <row r="2985" hidden="1" x14ac:dyDescent="0.3"/>
    <row r="2986" hidden="1" x14ac:dyDescent="0.3"/>
    <row r="2987" hidden="1" x14ac:dyDescent="0.3"/>
    <row r="2988" hidden="1" x14ac:dyDescent="0.3"/>
    <row r="2989" hidden="1" x14ac:dyDescent="0.3"/>
    <row r="2990" hidden="1" x14ac:dyDescent="0.3"/>
    <row r="2991" hidden="1" x14ac:dyDescent="0.3"/>
    <row r="2992" hidden="1" x14ac:dyDescent="0.3"/>
    <row r="2993" hidden="1" x14ac:dyDescent="0.3"/>
    <row r="2994" hidden="1" x14ac:dyDescent="0.3"/>
    <row r="2995" hidden="1" x14ac:dyDescent="0.3"/>
    <row r="2996" hidden="1" x14ac:dyDescent="0.3"/>
    <row r="2997" hidden="1" x14ac:dyDescent="0.3"/>
    <row r="2998" hidden="1" x14ac:dyDescent="0.3"/>
    <row r="2999" hidden="1" x14ac:dyDescent="0.3"/>
    <row r="3000" hidden="1" x14ac:dyDescent="0.3"/>
    <row r="3001" hidden="1" x14ac:dyDescent="0.3"/>
    <row r="3002" hidden="1" x14ac:dyDescent="0.3"/>
    <row r="3003" hidden="1" x14ac:dyDescent="0.3"/>
    <row r="3004" hidden="1" x14ac:dyDescent="0.3"/>
    <row r="3005" hidden="1" x14ac:dyDescent="0.3"/>
    <row r="3006" hidden="1" x14ac:dyDescent="0.3"/>
    <row r="3007" hidden="1" x14ac:dyDescent="0.3"/>
    <row r="3008" hidden="1" x14ac:dyDescent="0.3"/>
    <row r="3009" hidden="1" x14ac:dyDescent="0.3"/>
    <row r="3010" hidden="1" x14ac:dyDescent="0.3"/>
    <row r="3011" hidden="1" x14ac:dyDescent="0.3"/>
    <row r="3012" hidden="1" x14ac:dyDescent="0.3"/>
    <row r="3013" hidden="1" x14ac:dyDescent="0.3"/>
    <row r="3014" hidden="1" x14ac:dyDescent="0.3"/>
    <row r="3015" hidden="1" x14ac:dyDescent="0.3"/>
    <row r="3016" hidden="1" x14ac:dyDescent="0.3"/>
    <row r="3017" hidden="1" x14ac:dyDescent="0.3"/>
    <row r="3018" hidden="1" x14ac:dyDescent="0.3"/>
    <row r="3019" hidden="1" x14ac:dyDescent="0.3"/>
    <row r="3020" hidden="1" x14ac:dyDescent="0.3"/>
    <row r="3021" hidden="1" x14ac:dyDescent="0.3"/>
    <row r="3022" hidden="1" x14ac:dyDescent="0.3"/>
    <row r="3023" hidden="1" x14ac:dyDescent="0.3"/>
    <row r="3024" hidden="1" x14ac:dyDescent="0.3"/>
    <row r="3025" hidden="1" x14ac:dyDescent="0.3"/>
    <row r="3026" hidden="1" x14ac:dyDescent="0.3"/>
    <row r="3027" hidden="1" x14ac:dyDescent="0.3"/>
    <row r="3028" hidden="1" x14ac:dyDescent="0.3"/>
    <row r="3029" hidden="1" x14ac:dyDescent="0.3"/>
    <row r="3030" hidden="1" x14ac:dyDescent="0.3"/>
    <row r="3031" hidden="1" x14ac:dyDescent="0.3"/>
    <row r="3032" hidden="1" x14ac:dyDescent="0.3"/>
    <row r="3033" hidden="1" x14ac:dyDescent="0.3"/>
    <row r="3034" hidden="1" x14ac:dyDescent="0.3"/>
    <row r="3035" hidden="1" x14ac:dyDescent="0.3"/>
    <row r="3036" hidden="1" x14ac:dyDescent="0.3"/>
    <row r="3037" hidden="1" x14ac:dyDescent="0.3"/>
    <row r="3038" hidden="1" x14ac:dyDescent="0.3"/>
    <row r="3039" hidden="1" x14ac:dyDescent="0.3"/>
    <row r="3040" hidden="1" x14ac:dyDescent="0.3"/>
    <row r="3041" hidden="1" x14ac:dyDescent="0.3"/>
    <row r="3042" hidden="1" x14ac:dyDescent="0.3"/>
    <row r="3043" hidden="1" x14ac:dyDescent="0.3"/>
    <row r="3044" hidden="1" x14ac:dyDescent="0.3"/>
    <row r="3045" hidden="1" x14ac:dyDescent="0.3"/>
    <row r="3046" hidden="1" x14ac:dyDescent="0.3"/>
    <row r="3047" hidden="1" x14ac:dyDescent="0.3"/>
    <row r="3048" hidden="1" x14ac:dyDescent="0.3"/>
    <row r="3049" hidden="1" x14ac:dyDescent="0.3"/>
    <row r="3050" hidden="1" x14ac:dyDescent="0.3"/>
    <row r="3051" hidden="1" x14ac:dyDescent="0.3"/>
    <row r="3052" hidden="1" x14ac:dyDescent="0.3"/>
    <row r="3053" hidden="1" x14ac:dyDescent="0.3"/>
    <row r="3054" hidden="1" x14ac:dyDescent="0.3"/>
    <row r="3055" hidden="1" x14ac:dyDescent="0.3"/>
    <row r="3056" hidden="1" x14ac:dyDescent="0.3"/>
    <row r="3057" hidden="1" x14ac:dyDescent="0.3"/>
    <row r="3058" hidden="1" x14ac:dyDescent="0.3"/>
    <row r="3059" hidden="1" x14ac:dyDescent="0.3"/>
    <row r="3060" hidden="1" x14ac:dyDescent="0.3"/>
    <row r="3061" hidden="1" x14ac:dyDescent="0.3"/>
    <row r="3062" hidden="1" x14ac:dyDescent="0.3"/>
    <row r="3063" hidden="1" x14ac:dyDescent="0.3"/>
    <row r="3064" hidden="1" x14ac:dyDescent="0.3"/>
    <row r="3065" hidden="1" x14ac:dyDescent="0.3"/>
    <row r="3066" hidden="1" x14ac:dyDescent="0.3"/>
    <row r="3067" hidden="1" x14ac:dyDescent="0.3"/>
    <row r="3068" hidden="1" x14ac:dyDescent="0.3"/>
    <row r="3069" hidden="1" x14ac:dyDescent="0.3"/>
    <row r="3070" hidden="1" x14ac:dyDescent="0.3"/>
    <row r="3071" hidden="1" x14ac:dyDescent="0.3"/>
    <row r="3072" hidden="1" x14ac:dyDescent="0.3"/>
    <row r="3073" hidden="1" x14ac:dyDescent="0.3"/>
    <row r="3074" hidden="1" x14ac:dyDescent="0.3"/>
    <row r="3075" hidden="1" x14ac:dyDescent="0.3"/>
    <row r="3076" hidden="1" x14ac:dyDescent="0.3"/>
    <row r="3077" hidden="1" x14ac:dyDescent="0.3"/>
    <row r="3078" hidden="1" x14ac:dyDescent="0.3"/>
    <row r="3079" hidden="1" x14ac:dyDescent="0.3"/>
    <row r="3080" hidden="1" x14ac:dyDescent="0.3"/>
    <row r="3081" hidden="1" x14ac:dyDescent="0.3"/>
    <row r="3082" hidden="1" x14ac:dyDescent="0.3"/>
    <row r="3083" hidden="1" x14ac:dyDescent="0.3"/>
    <row r="3084" hidden="1" x14ac:dyDescent="0.3"/>
    <row r="3085" hidden="1" x14ac:dyDescent="0.3"/>
    <row r="3086" hidden="1" x14ac:dyDescent="0.3"/>
    <row r="3087" hidden="1" x14ac:dyDescent="0.3"/>
    <row r="3088" hidden="1" x14ac:dyDescent="0.3"/>
    <row r="3089" hidden="1" x14ac:dyDescent="0.3"/>
    <row r="3090" hidden="1" x14ac:dyDescent="0.3"/>
    <row r="3091" hidden="1" x14ac:dyDescent="0.3"/>
    <row r="3092" hidden="1" x14ac:dyDescent="0.3"/>
    <row r="3093" hidden="1" x14ac:dyDescent="0.3"/>
    <row r="3094" hidden="1" x14ac:dyDescent="0.3"/>
    <row r="3095" hidden="1" x14ac:dyDescent="0.3"/>
    <row r="3096" hidden="1" x14ac:dyDescent="0.3"/>
    <row r="3097" hidden="1" x14ac:dyDescent="0.3"/>
    <row r="3098" hidden="1" x14ac:dyDescent="0.3"/>
    <row r="3099" hidden="1" x14ac:dyDescent="0.3"/>
    <row r="3100" hidden="1" x14ac:dyDescent="0.3"/>
    <row r="3101" hidden="1" x14ac:dyDescent="0.3"/>
    <row r="3102" hidden="1" x14ac:dyDescent="0.3"/>
    <row r="3103" hidden="1" x14ac:dyDescent="0.3"/>
    <row r="3104" hidden="1" x14ac:dyDescent="0.3"/>
    <row r="3105" hidden="1" x14ac:dyDescent="0.3"/>
    <row r="3106" hidden="1" x14ac:dyDescent="0.3"/>
    <row r="3107" hidden="1" x14ac:dyDescent="0.3"/>
    <row r="3108" hidden="1" x14ac:dyDescent="0.3"/>
    <row r="3109" hidden="1" x14ac:dyDescent="0.3"/>
    <row r="3110" hidden="1" x14ac:dyDescent="0.3"/>
    <row r="3111" hidden="1" x14ac:dyDescent="0.3"/>
    <row r="3112" hidden="1" x14ac:dyDescent="0.3"/>
    <row r="3113" hidden="1" x14ac:dyDescent="0.3"/>
    <row r="3114" hidden="1" x14ac:dyDescent="0.3"/>
    <row r="3115" hidden="1" x14ac:dyDescent="0.3"/>
    <row r="3116" hidden="1" x14ac:dyDescent="0.3"/>
    <row r="3117" hidden="1" x14ac:dyDescent="0.3"/>
    <row r="3118" hidden="1" x14ac:dyDescent="0.3"/>
    <row r="3119" hidden="1" x14ac:dyDescent="0.3"/>
    <row r="3120" hidden="1" x14ac:dyDescent="0.3"/>
    <row r="3121" hidden="1" x14ac:dyDescent="0.3"/>
    <row r="3122" hidden="1" x14ac:dyDescent="0.3"/>
    <row r="3123" hidden="1" x14ac:dyDescent="0.3"/>
    <row r="3124" hidden="1" x14ac:dyDescent="0.3"/>
    <row r="3125" hidden="1" x14ac:dyDescent="0.3"/>
    <row r="3126" hidden="1" x14ac:dyDescent="0.3"/>
    <row r="3127" hidden="1" x14ac:dyDescent="0.3"/>
    <row r="3128" hidden="1" x14ac:dyDescent="0.3"/>
    <row r="3129" hidden="1" x14ac:dyDescent="0.3"/>
    <row r="3130" hidden="1" x14ac:dyDescent="0.3"/>
    <row r="3131" hidden="1" x14ac:dyDescent="0.3"/>
    <row r="3132" hidden="1" x14ac:dyDescent="0.3"/>
    <row r="3133" hidden="1" x14ac:dyDescent="0.3"/>
    <row r="3134" hidden="1" x14ac:dyDescent="0.3"/>
    <row r="3135" hidden="1" x14ac:dyDescent="0.3"/>
    <row r="3136" hidden="1" x14ac:dyDescent="0.3"/>
    <row r="3137" hidden="1" x14ac:dyDescent="0.3"/>
    <row r="3138" hidden="1" x14ac:dyDescent="0.3"/>
    <row r="3139" hidden="1" x14ac:dyDescent="0.3"/>
    <row r="3140" hidden="1" x14ac:dyDescent="0.3"/>
    <row r="3141" hidden="1" x14ac:dyDescent="0.3"/>
    <row r="3142" hidden="1" x14ac:dyDescent="0.3"/>
    <row r="3143" hidden="1" x14ac:dyDescent="0.3"/>
    <row r="3144" hidden="1" x14ac:dyDescent="0.3"/>
    <row r="3145" hidden="1" x14ac:dyDescent="0.3"/>
    <row r="3146" hidden="1" x14ac:dyDescent="0.3"/>
    <row r="3147" hidden="1" x14ac:dyDescent="0.3"/>
    <row r="3148" hidden="1" x14ac:dyDescent="0.3"/>
    <row r="3149" hidden="1" x14ac:dyDescent="0.3"/>
    <row r="3150" hidden="1" x14ac:dyDescent="0.3"/>
    <row r="3151" hidden="1" x14ac:dyDescent="0.3"/>
    <row r="3152" hidden="1" x14ac:dyDescent="0.3"/>
    <row r="3153" hidden="1" x14ac:dyDescent="0.3"/>
    <row r="3154" hidden="1" x14ac:dyDescent="0.3"/>
    <row r="3155" hidden="1" x14ac:dyDescent="0.3"/>
    <row r="3156" hidden="1" x14ac:dyDescent="0.3"/>
    <row r="3157" hidden="1" x14ac:dyDescent="0.3"/>
    <row r="3158" hidden="1" x14ac:dyDescent="0.3"/>
    <row r="3159" hidden="1" x14ac:dyDescent="0.3"/>
    <row r="3160" hidden="1" x14ac:dyDescent="0.3"/>
    <row r="3161" hidden="1" x14ac:dyDescent="0.3"/>
    <row r="3162" hidden="1" x14ac:dyDescent="0.3"/>
    <row r="3163" hidden="1" x14ac:dyDescent="0.3"/>
    <row r="3164" hidden="1" x14ac:dyDescent="0.3"/>
    <row r="3165" hidden="1" x14ac:dyDescent="0.3"/>
    <row r="3166" hidden="1" x14ac:dyDescent="0.3"/>
    <row r="3167" hidden="1" x14ac:dyDescent="0.3"/>
    <row r="3168" hidden="1" x14ac:dyDescent="0.3"/>
    <row r="3169" hidden="1" x14ac:dyDescent="0.3"/>
    <row r="3170" hidden="1" x14ac:dyDescent="0.3"/>
    <row r="3171" hidden="1" x14ac:dyDescent="0.3"/>
    <row r="3172" hidden="1" x14ac:dyDescent="0.3"/>
    <row r="3173" hidden="1" x14ac:dyDescent="0.3"/>
    <row r="3174" hidden="1" x14ac:dyDescent="0.3"/>
    <row r="3175" hidden="1" x14ac:dyDescent="0.3"/>
    <row r="3176" hidden="1" x14ac:dyDescent="0.3"/>
    <row r="3177" hidden="1" x14ac:dyDescent="0.3"/>
    <row r="3178" hidden="1" x14ac:dyDescent="0.3"/>
    <row r="3179" hidden="1" x14ac:dyDescent="0.3"/>
    <row r="3180" hidden="1" x14ac:dyDescent="0.3"/>
    <row r="3181" hidden="1" x14ac:dyDescent="0.3"/>
    <row r="3182" hidden="1" x14ac:dyDescent="0.3"/>
    <row r="3183" hidden="1" x14ac:dyDescent="0.3"/>
    <row r="3184" hidden="1" x14ac:dyDescent="0.3"/>
    <row r="3185" hidden="1" x14ac:dyDescent="0.3"/>
    <row r="3186" hidden="1" x14ac:dyDescent="0.3"/>
    <row r="3187" hidden="1" x14ac:dyDescent="0.3"/>
    <row r="3188" hidden="1" x14ac:dyDescent="0.3"/>
    <row r="3189" hidden="1" x14ac:dyDescent="0.3"/>
    <row r="3190" hidden="1" x14ac:dyDescent="0.3"/>
    <row r="3191" hidden="1" x14ac:dyDescent="0.3"/>
    <row r="3192" hidden="1" x14ac:dyDescent="0.3"/>
    <row r="3193" hidden="1" x14ac:dyDescent="0.3"/>
    <row r="3194" hidden="1" x14ac:dyDescent="0.3"/>
    <row r="3195" hidden="1" x14ac:dyDescent="0.3"/>
    <row r="3196" hidden="1" x14ac:dyDescent="0.3"/>
    <row r="3197" hidden="1" x14ac:dyDescent="0.3"/>
    <row r="3198" hidden="1" x14ac:dyDescent="0.3"/>
    <row r="3199" hidden="1" x14ac:dyDescent="0.3"/>
    <row r="3200" hidden="1" x14ac:dyDescent="0.3"/>
    <row r="3201" hidden="1" x14ac:dyDescent="0.3"/>
    <row r="3202" hidden="1" x14ac:dyDescent="0.3"/>
    <row r="3203" hidden="1" x14ac:dyDescent="0.3"/>
    <row r="3204" hidden="1" x14ac:dyDescent="0.3"/>
    <row r="3205" hidden="1" x14ac:dyDescent="0.3"/>
    <row r="3206" hidden="1" x14ac:dyDescent="0.3"/>
    <row r="3207" hidden="1" x14ac:dyDescent="0.3"/>
    <row r="3208" hidden="1" x14ac:dyDescent="0.3"/>
    <row r="3209" hidden="1" x14ac:dyDescent="0.3"/>
    <row r="3210" hidden="1" x14ac:dyDescent="0.3"/>
    <row r="3211" hidden="1" x14ac:dyDescent="0.3"/>
    <row r="3212" hidden="1" x14ac:dyDescent="0.3"/>
    <row r="3213" hidden="1" x14ac:dyDescent="0.3"/>
    <row r="3214" hidden="1" x14ac:dyDescent="0.3"/>
    <row r="3215" hidden="1" x14ac:dyDescent="0.3"/>
    <row r="3216" hidden="1" x14ac:dyDescent="0.3"/>
    <row r="3217" hidden="1" x14ac:dyDescent="0.3"/>
    <row r="3218" hidden="1" x14ac:dyDescent="0.3"/>
    <row r="3219" hidden="1" x14ac:dyDescent="0.3"/>
    <row r="3220" hidden="1" x14ac:dyDescent="0.3"/>
    <row r="3221" hidden="1" x14ac:dyDescent="0.3"/>
    <row r="3222" hidden="1" x14ac:dyDescent="0.3"/>
    <row r="3223" hidden="1" x14ac:dyDescent="0.3"/>
    <row r="3224" hidden="1" x14ac:dyDescent="0.3"/>
    <row r="3225" hidden="1" x14ac:dyDescent="0.3"/>
    <row r="3226" hidden="1" x14ac:dyDescent="0.3"/>
    <row r="3227" hidden="1" x14ac:dyDescent="0.3"/>
    <row r="3228" hidden="1" x14ac:dyDescent="0.3"/>
    <row r="3229" hidden="1" x14ac:dyDescent="0.3"/>
    <row r="3230" hidden="1" x14ac:dyDescent="0.3"/>
    <row r="3231" hidden="1" x14ac:dyDescent="0.3"/>
    <row r="3232" hidden="1" x14ac:dyDescent="0.3"/>
    <row r="3233" hidden="1" x14ac:dyDescent="0.3"/>
    <row r="3234" hidden="1" x14ac:dyDescent="0.3"/>
    <row r="3235" hidden="1" x14ac:dyDescent="0.3"/>
    <row r="3236" hidden="1" x14ac:dyDescent="0.3"/>
    <row r="3237" hidden="1" x14ac:dyDescent="0.3"/>
    <row r="3238" hidden="1" x14ac:dyDescent="0.3"/>
    <row r="3239" hidden="1" x14ac:dyDescent="0.3"/>
    <row r="3240" hidden="1" x14ac:dyDescent="0.3"/>
    <row r="3241" hidden="1" x14ac:dyDescent="0.3"/>
    <row r="3242" hidden="1" x14ac:dyDescent="0.3"/>
    <row r="3243" hidden="1" x14ac:dyDescent="0.3"/>
    <row r="3244" hidden="1" x14ac:dyDescent="0.3"/>
    <row r="3245" hidden="1" x14ac:dyDescent="0.3"/>
    <row r="3246" hidden="1" x14ac:dyDescent="0.3"/>
    <row r="3247" hidden="1" x14ac:dyDescent="0.3"/>
    <row r="3248" hidden="1" x14ac:dyDescent="0.3"/>
    <row r="3249" hidden="1" x14ac:dyDescent="0.3"/>
    <row r="3250" hidden="1" x14ac:dyDescent="0.3"/>
    <row r="3251" hidden="1" x14ac:dyDescent="0.3"/>
    <row r="3252" hidden="1" x14ac:dyDescent="0.3"/>
    <row r="3253" hidden="1" x14ac:dyDescent="0.3"/>
    <row r="3254" hidden="1" x14ac:dyDescent="0.3"/>
    <row r="3255" hidden="1" x14ac:dyDescent="0.3"/>
    <row r="3256" hidden="1" x14ac:dyDescent="0.3"/>
    <row r="3257" hidden="1" x14ac:dyDescent="0.3"/>
    <row r="3258" hidden="1" x14ac:dyDescent="0.3"/>
    <row r="3259" hidden="1" x14ac:dyDescent="0.3"/>
    <row r="3260" hidden="1" x14ac:dyDescent="0.3"/>
    <row r="3261" hidden="1" x14ac:dyDescent="0.3"/>
    <row r="3262" hidden="1" x14ac:dyDescent="0.3"/>
    <row r="3263" hidden="1" x14ac:dyDescent="0.3"/>
    <row r="3264" hidden="1" x14ac:dyDescent="0.3"/>
    <row r="3265" hidden="1" x14ac:dyDescent="0.3"/>
    <row r="3266" hidden="1" x14ac:dyDescent="0.3"/>
    <row r="3267" hidden="1" x14ac:dyDescent="0.3"/>
    <row r="3268" hidden="1" x14ac:dyDescent="0.3"/>
    <row r="3269" hidden="1" x14ac:dyDescent="0.3"/>
    <row r="3270" hidden="1" x14ac:dyDescent="0.3"/>
    <row r="3271" hidden="1" x14ac:dyDescent="0.3"/>
    <row r="3272" hidden="1" x14ac:dyDescent="0.3"/>
    <row r="3273" hidden="1" x14ac:dyDescent="0.3"/>
    <row r="3274" hidden="1" x14ac:dyDescent="0.3"/>
    <row r="3275" hidden="1" x14ac:dyDescent="0.3"/>
    <row r="3276" hidden="1" x14ac:dyDescent="0.3"/>
    <row r="3277" hidden="1" x14ac:dyDescent="0.3"/>
    <row r="3278" hidden="1" x14ac:dyDescent="0.3"/>
    <row r="3279" hidden="1" x14ac:dyDescent="0.3"/>
    <row r="3280" hidden="1" x14ac:dyDescent="0.3"/>
    <row r="3281" hidden="1" x14ac:dyDescent="0.3"/>
    <row r="3282" hidden="1" x14ac:dyDescent="0.3"/>
    <row r="3283" hidden="1" x14ac:dyDescent="0.3"/>
    <row r="3284" hidden="1" x14ac:dyDescent="0.3"/>
    <row r="3285" hidden="1" x14ac:dyDescent="0.3"/>
    <row r="3286" hidden="1" x14ac:dyDescent="0.3"/>
    <row r="3287" hidden="1" x14ac:dyDescent="0.3"/>
    <row r="3288" hidden="1" x14ac:dyDescent="0.3"/>
    <row r="3289" hidden="1" x14ac:dyDescent="0.3"/>
    <row r="3290" hidden="1" x14ac:dyDescent="0.3"/>
    <row r="3291" hidden="1" x14ac:dyDescent="0.3"/>
    <row r="3292" hidden="1" x14ac:dyDescent="0.3"/>
    <row r="3293" hidden="1" x14ac:dyDescent="0.3"/>
    <row r="3294" hidden="1" x14ac:dyDescent="0.3"/>
    <row r="3295" hidden="1" x14ac:dyDescent="0.3"/>
    <row r="3296" hidden="1" x14ac:dyDescent="0.3"/>
    <row r="3297" hidden="1" x14ac:dyDescent="0.3"/>
    <row r="3298" hidden="1" x14ac:dyDescent="0.3"/>
    <row r="3299" hidden="1" x14ac:dyDescent="0.3"/>
    <row r="3300" hidden="1" x14ac:dyDescent="0.3"/>
    <row r="3301" hidden="1" x14ac:dyDescent="0.3"/>
    <row r="3302" hidden="1" x14ac:dyDescent="0.3"/>
    <row r="3303" hidden="1" x14ac:dyDescent="0.3"/>
    <row r="3304" hidden="1" x14ac:dyDescent="0.3"/>
    <row r="3305" hidden="1" x14ac:dyDescent="0.3"/>
    <row r="3306" hidden="1" x14ac:dyDescent="0.3"/>
    <row r="3307" hidden="1" x14ac:dyDescent="0.3"/>
    <row r="3308" hidden="1" x14ac:dyDescent="0.3"/>
    <row r="3309" hidden="1" x14ac:dyDescent="0.3"/>
    <row r="3310" hidden="1" x14ac:dyDescent="0.3"/>
    <row r="3311" hidden="1" x14ac:dyDescent="0.3"/>
    <row r="3312" hidden="1" x14ac:dyDescent="0.3"/>
    <row r="3313" hidden="1" x14ac:dyDescent="0.3"/>
    <row r="3314" hidden="1" x14ac:dyDescent="0.3"/>
    <row r="3315" hidden="1" x14ac:dyDescent="0.3"/>
    <row r="3316" hidden="1" x14ac:dyDescent="0.3"/>
    <row r="3317" hidden="1" x14ac:dyDescent="0.3"/>
    <row r="3318" hidden="1" x14ac:dyDescent="0.3"/>
    <row r="3319" hidden="1" x14ac:dyDescent="0.3"/>
    <row r="3320" hidden="1" x14ac:dyDescent="0.3"/>
    <row r="3321" hidden="1" x14ac:dyDescent="0.3"/>
    <row r="3322" hidden="1" x14ac:dyDescent="0.3"/>
    <row r="3323" hidden="1" x14ac:dyDescent="0.3"/>
    <row r="3324" hidden="1" x14ac:dyDescent="0.3"/>
    <row r="3325" hidden="1" x14ac:dyDescent="0.3"/>
    <row r="3326" hidden="1" x14ac:dyDescent="0.3"/>
    <row r="3327" hidden="1" x14ac:dyDescent="0.3"/>
    <row r="3328" hidden="1" x14ac:dyDescent="0.3"/>
    <row r="3329" hidden="1" x14ac:dyDescent="0.3"/>
    <row r="3330" hidden="1" x14ac:dyDescent="0.3"/>
    <row r="3331" hidden="1" x14ac:dyDescent="0.3"/>
    <row r="3332" hidden="1" x14ac:dyDescent="0.3"/>
    <row r="3333" hidden="1" x14ac:dyDescent="0.3"/>
    <row r="3334" hidden="1" x14ac:dyDescent="0.3"/>
    <row r="3335" hidden="1" x14ac:dyDescent="0.3"/>
    <row r="3336" hidden="1" x14ac:dyDescent="0.3"/>
    <row r="3337" hidden="1" x14ac:dyDescent="0.3"/>
    <row r="3338" hidden="1" x14ac:dyDescent="0.3"/>
    <row r="3339" hidden="1" x14ac:dyDescent="0.3"/>
    <row r="3340" hidden="1" x14ac:dyDescent="0.3"/>
    <row r="3341" hidden="1" x14ac:dyDescent="0.3"/>
    <row r="3342" hidden="1" x14ac:dyDescent="0.3"/>
    <row r="3343" hidden="1" x14ac:dyDescent="0.3"/>
    <row r="3344" hidden="1" x14ac:dyDescent="0.3"/>
    <row r="3345" hidden="1" x14ac:dyDescent="0.3"/>
    <row r="3346" hidden="1" x14ac:dyDescent="0.3"/>
    <row r="3347" hidden="1" x14ac:dyDescent="0.3"/>
    <row r="3348" hidden="1" x14ac:dyDescent="0.3"/>
    <row r="3349" hidden="1" x14ac:dyDescent="0.3"/>
    <row r="3350" hidden="1" x14ac:dyDescent="0.3"/>
    <row r="3351" hidden="1" x14ac:dyDescent="0.3"/>
    <row r="3352" hidden="1" x14ac:dyDescent="0.3"/>
    <row r="3353" hidden="1" x14ac:dyDescent="0.3"/>
    <row r="3354" hidden="1" x14ac:dyDescent="0.3"/>
    <row r="3355" hidden="1" x14ac:dyDescent="0.3"/>
    <row r="3356" hidden="1" x14ac:dyDescent="0.3"/>
    <row r="3357" hidden="1" x14ac:dyDescent="0.3"/>
    <row r="3358" hidden="1" x14ac:dyDescent="0.3"/>
    <row r="3359" hidden="1" x14ac:dyDescent="0.3"/>
    <row r="3360" hidden="1" x14ac:dyDescent="0.3"/>
    <row r="3361" hidden="1" x14ac:dyDescent="0.3"/>
    <row r="3362" hidden="1" x14ac:dyDescent="0.3"/>
    <row r="3363" hidden="1" x14ac:dyDescent="0.3"/>
    <row r="3364" hidden="1" x14ac:dyDescent="0.3"/>
    <row r="3365" hidden="1" x14ac:dyDescent="0.3"/>
    <row r="3366" hidden="1" x14ac:dyDescent="0.3"/>
    <row r="3367" hidden="1" x14ac:dyDescent="0.3"/>
    <row r="3368" hidden="1" x14ac:dyDescent="0.3"/>
    <row r="3369" hidden="1" x14ac:dyDescent="0.3"/>
    <row r="3370" hidden="1" x14ac:dyDescent="0.3"/>
    <row r="3371" hidden="1" x14ac:dyDescent="0.3"/>
    <row r="3372" hidden="1" x14ac:dyDescent="0.3"/>
    <row r="3373" hidden="1" x14ac:dyDescent="0.3"/>
    <row r="3374" hidden="1" x14ac:dyDescent="0.3"/>
    <row r="3375" hidden="1" x14ac:dyDescent="0.3"/>
    <row r="3376" hidden="1" x14ac:dyDescent="0.3"/>
    <row r="3377" hidden="1" x14ac:dyDescent="0.3"/>
    <row r="3378" hidden="1" x14ac:dyDescent="0.3"/>
    <row r="3379" hidden="1" x14ac:dyDescent="0.3"/>
    <row r="3380" hidden="1" x14ac:dyDescent="0.3"/>
    <row r="3381" hidden="1" x14ac:dyDescent="0.3"/>
    <row r="3382" hidden="1" x14ac:dyDescent="0.3"/>
    <row r="3383" hidden="1" x14ac:dyDescent="0.3"/>
    <row r="3384" hidden="1" x14ac:dyDescent="0.3"/>
    <row r="3385" hidden="1" x14ac:dyDescent="0.3"/>
    <row r="3386" hidden="1" x14ac:dyDescent="0.3"/>
    <row r="3387" hidden="1" x14ac:dyDescent="0.3"/>
    <row r="3388" hidden="1" x14ac:dyDescent="0.3"/>
    <row r="3389" hidden="1" x14ac:dyDescent="0.3"/>
    <row r="3390" hidden="1" x14ac:dyDescent="0.3"/>
    <row r="3391" hidden="1" x14ac:dyDescent="0.3"/>
    <row r="3392" hidden="1" x14ac:dyDescent="0.3"/>
    <row r="3393" hidden="1" x14ac:dyDescent="0.3"/>
    <row r="3394" hidden="1" x14ac:dyDescent="0.3"/>
    <row r="3395" hidden="1" x14ac:dyDescent="0.3"/>
    <row r="3396" hidden="1" x14ac:dyDescent="0.3"/>
    <row r="3397" hidden="1" x14ac:dyDescent="0.3"/>
    <row r="3398" hidden="1" x14ac:dyDescent="0.3"/>
    <row r="3399" hidden="1" x14ac:dyDescent="0.3"/>
    <row r="3400" hidden="1" x14ac:dyDescent="0.3"/>
    <row r="3401" hidden="1" x14ac:dyDescent="0.3"/>
    <row r="3402" hidden="1" x14ac:dyDescent="0.3"/>
    <row r="3403" hidden="1" x14ac:dyDescent="0.3"/>
    <row r="3404" hidden="1" x14ac:dyDescent="0.3"/>
    <row r="3405" hidden="1" x14ac:dyDescent="0.3"/>
    <row r="3406" hidden="1" x14ac:dyDescent="0.3"/>
    <row r="3407" hidden="1" x14ac:dyDescent="0.3"/>
    <row r="3408" hidden="1" x14ac:dyDescent="0.3"/>
    <row r="3409" hidden="1" x14ac:dyDescent="0.3"/>
    <row r="3410" hidden="1" x14ac:dyDescent="0.3"/>
    <row r="3411" hidden="1" x14ac:dyDescent="0.3"/>
    <row r="3412" hidden="1" x14ac:dyDescent="0.3"/>
    <row r="3413" hidden="1" x14ac:dyDescent="0.3"/>
    <row r="3414" hidden="1" x14ac:dyDescent="0.3"/>
    <row r="3415" hidden="1" x14ac:dyDescent="0.3"/>
    <row r="3416" hidden="1" x14ac:dyDescent="0.3"/>
    <row r="3417" hidden="1" x14ac:dyDescent="0.3"/>
    <row r="3418" hidden="1" x14ac:dyDescent="0.3"/>
    <row r="3419" hidden="1" x14ac:dyDescent="0.3"/>
    <row r="3420" hidden="1" x14ac:dyDescent="0.3"/>
    <row r="3421" hidden="1" x14ac:dyDescent="0.3"/>
    <row r="3422" hidden="1" x14ac:dyDescent="0.3"/>
    <row r="3423" hidden="1" x14ac:dyDescent="0.3"/>
    <row r="3424" hidden="1" x14ac:dyDescent="0.3"/>
    <row r="3425" hidden="1" x14ac:dyDescent="0.3"/>
    <row r="3426" hidden="1" x14ac:dyDescent="0.3"/>
    <row r="3427" hidden="1" x14ac:dyDescent="0.3"/>
    <row r="3428" hidden="1" x14ac:dyDescent="0.3"/>
    <row r="3429" hidden="1" x14ac:dyDescent="0.3"/>
    <row r="3430" hidden="1" x14ac:dyDescent="0.3"/>
    <row r="3431" hidden="1" x14ac:dyDescent="0.3"/>
    <row r="3432" hidden="1" x14ac:dyDescent="0.3"/>
    <row r="3433" hidden="1" x14ac:dyDescent="0.3"/>
    <row r="3434" hidden="1" x14ac:dyDescent="0.3"/>
    <row r="3435" hidden="1" x14ac:dyDescent="0.3"/>
    <row r="3436" hidden="1" x14ac:dyDescent="0.3"/>
    <row r="3437" hidden="1" x14ac:dyDescent="0.3"/>
    <row r="3438" hidden="1" x14ac:dyDescent="0.3"/>
    <row r="3439" hidden="1" x14ac:dyDescent="0.3"/>
    <row r="3440" hidden="1" x14ac:dyDescent="0.3"/>
    <row r="3441" hidden="1" x14ac:dyDescent="0.3"/>
    <row r="3442" hidden="1" x14ac:dyDescent="0.3"/>
    <row r="3443" hidden="1" x14ac:dyDescent="0.3"/>
    <row r="3444" hidden="1" x14ac:dyDescent="0.3"/>
    <row r="3445" hidden="1" x14ac:dyDescent="0.3"/>
    <row r="3446" hidden="1" x14ac:dyDescent="0.3"/>
    <row r="3447" hidden="1" x14ac:dyDescent="0.3"/>
    <row r="3448" hidden="1" x14ac:dyDescent="0.3"/>
    <row r="3449" hidden="1" x14ac:dyDescent="0.3"/>
    <row r="3450" hidden="1" x14ac:dyDescent="0.3"/>
    <row r="3451" hidden="1" x14ac:dyDescent="0.3"/>
    <row r="3452" hidden="1" x14ac:dyDescent="0.3"/>
    <row r="3453" hidden="1" x14ac:dyDescent="0.3"/>
    <row r="3454" hidden="1" x14ac:dyDescent="0.3"/>
    <row r="3455" hidden="1" x14ac:dyDescent="0.3"/>
    <row r="3456" hidden="1" x14ac:dyDescent="0.3"/>
    <row r="3457" hidden="1" x14ac:dyDescent="0.3"/>
    <row r="3458" hidden="1" x14ac:dyDescent="0.3"/>
    <row r="3459" hidden="1" x14ac:dyDescent="0.3"/>
    <row r="3460" hidden="1" x14ac:dyDescent="0.3"/>
    <row r="3461" hidden="1" x14ac:dyDescent="0.3"/>
    <row r="3462" hidden="1" x14ac:dyDescent="0.3"/>
    <row r="3463" hidden="1" x14ac:dyDescent="0.3"/>
    <row r="3464" hidden="1" x14ac:dyDescent="0.3"/>
    <row r="3465" hidden="1" x14ac:dyDescent="0.3"/>
    <row r="3466" hidden="1" x14ac:dyDescent="0.3"/>
    <row r="3467" hidden="1" x14ac:dyDescent="0.3"/>
    <row r="3468" hidden="1" x14ac:dyDescent="0.3"/>
    <row r="3469" hidden="1" x14ac:dyDescent="0.3"/>
    <row r="3470" hidden="1" x14ac:dyDescent="0.3"/>
    <row r="3471" hidden="1" x14ac:dyDescent="0.3"/>
    <row r="3472" hidden="1" x14ac:dyDescent="0.3"/>
    <row r="3473" hidden="1" x14ac:dyDescent="0.3"/>
    <row r="3474" hidden="1" x14ac:dyDescent="0.3"/>
    <row r="3475" hidden="1" x14ac:dyDescent="0.3"/>
    <row r="3476" hidden="1" x14ac:dyDescent="0.3"/>
    <row r="3477" hidden="1" x14ac:dyDescent="0.3"/>
    <row r="3478" hidden="1" x14ac:dyDescent="0.3"/>
    <row r="3479" hidden="1" x14ac:dyDescent="0.3"/>
    <row r="3480" hidden="1" x14ac:dyDescent="0.3"/>
    <row r="3481" hidden="1" x14ac:dyDescent="0.3"/>
    <row r="3482" hidden="1" x14ac:dyDescent="0.3"/>
    <row r="3483" hidden="1" x14ac:dyDescent="0.3"/>
    <row r="3484" hidden="1" x14ac:dyDescent="0.3"/>
    <row r="3485" hidden="1" x14ac:dyDescent="0.3"/>
    <row r="3486" hidden="1" x14ac:dyDescent="0.3"/>
    <row r="3487" hidden="1" x14ac:dyDescent="0.3"/>
    <row r="3488" hidden="1" x14ac:dyDescent="0.3"/>
    <row r="3489" hidden="1" x14ac:dyDescent="0.3"/>
    <row r="3490" hidden="1" x14ac:dyDescent="0.3"/>
    <row r="3491" hidden="1" x14ac:dyDescent="0.3"/>
    <row r="3492" hidden="1" x14ac:dyDescent="0.3"/>
    <row r="3493" hidden="1" x14ac:dyDescent="0.3"/>
    <row r="3494" hidden="1" x14ac:dyDescent="0.3"/>
    <row r="3495" hidden="1" x14ac:dyDescent="0.3"/>
    <row r="3496" hidden="1" x14ac:dyDescent="0.3"/>
    <row r="3497" hidden="1" x14ac:dyDescent="0.3"/>
    <row r="3498" hidden="1" x14ac:dyDescent="0.3"/>
    <row r="3499" hidden="1" x14ac:dyDescent="0.3"/>
    <row r="3500" hidden="1" x14ac:dyDescent="0.3"/>
    <row r="3501" hidden="1" x14ac:dyDescent="0.3"/>
    <row r="3502" hidden="1" x14ac:dyDescent="0.3"/>
    <row r="3503" hidden="1" x14ac:dyDescent="0.3"/>
    <row r="3504" hidden="1" x14ac:dyDescent="0.3"/>
    <row r="3505" hidden="1" x14ac:dyDescent="0.3"/>
    <row r="3506" hidden="1" x14ac:dyDescent="0.3"/>
    <row r="3507" hidden="1" x14ac:dyDescent="0.3"/>
    <row r="3508" hidden="1" x14ac:dyDescent="0.3"/>
    <row r="3509" hidden="1" x14ac:dyDescent="0.3"/>
    <row r="3510" hidden="1" x14ac:dyDescent="0.3"/>
    <row r="3511" hidden="1" x14ac:dyDescent="0.3"/>
    <row r="3512" hidden="1" x14ac:dyDescent="0.3"/>
    <row r="3513" hidden="1" x14ac:dyDescent="0.3"/>
    <row r="3514" hidden="1" x14ac:dyDescent="0.3"/>
    <row r="3515" hidden="1" x14ac:dyDescent="0.3"/>
    <row r="3516" hidden="1" x14ac:dyDescent="0.3"/>
    <row r="3517" hidden="1" x14ac:dyDescent="0.3"/>
    <row r="3518" hidden="1" x14ac:dyDescent="0.3"/>
    <row r="3519" hidden="1" x14ac:dyDescent="0.3"/>
    <row r="3520" hidden="1" x14ac:dyDescent="0.3"/>
    <row r="3521" hidden="1" x14ac:dyDescent="0.3"/>
    <row r="3522" hidden="1" x14ac:dyDescent="0.3"/>
    <row r="3523" hidden="1" x14ac:dyDescent="0.3"/>
    <row r="3524" hidden="1" x14ac:dyDescent="0.3"/>
    <row r="3525" hidden="1" x14ac:dyDescent="0.3"/>
    <row r="3526" hidden="1" x14ac:dyDescent="0.3"/>
    <row r="3527" hidden="1" x14ac:dyDescent="0.3"/>
    <row r="3528" hidden="1" x14ac:dyDescent="0.3"/>
    <row r="3529" hidden="1" x14ac:dyDescent="0.3"/>
    <row r="3530" hidden="1" x14ac:dyDescent="0.3"/>
    <row r="3531" hidden="1" x14ac:dyDescent="0.3"/>
    <row r="3532" hidden="1" x14ac:dyDescent="0.3"/>
    <row r="3533" hidden="1" x14ac:dyDescent="0.3"/>
    <row r="3534" hidden="1" x14ac:dyDescent="0.3"/>
    <row r="3535" hidden="1" x14ac:dyDescent="0.3"/>
    <row r="3536" hidden="1" x14ac:dyDescent="0.3"/>
    <row r="3537" hidden="1" x14ac:dyDescent="0.3"/>
    <row r="3538" hidden="1" x14ac:dyDescent="0.3"/>
    <row r="3539" hidden="1" x14ac:dyDescent="0.3"/>
    <row r="3540" hidden="1" x14ac:dyDescent="0.3"/>
    <row r="3541" hidden="1" x14ac:dyDescent="0.3"/>
    <row r="3542" hidden="1" x14ac:dyDescent="0.3"/>
    <row r="3543" hidden="1" x14ac:dyDescent="0.3"/>
    <row r="3544" hidden="1" x14ac:dyDescent="0.3"/>
    <row r="3545" hidden="1" x14ac:dyDescent="0.3"/>
    <row r="3546" hidden="1" x14ac:dyDescent="0.3"/>
    <row r="3547" hidden="1" x14ac:dyDescent="0.3"/>
    <row r="3548" hidden="1" x14ac:dyDescent="0.3"/>
    <row r="3549" hidden="1" x14ac:dyDescent="0.3"/>
    <row r="3550" hidden="1" x14ac:dyDescent="0.3"/>
    <row r="3551" hidden="1" x14ac:dyDescent="0.3"/>
    <row r="3552" hidden="1" x14ac:dyDescent="0.3"/>
    <row r="3553" hidden="1" x14ac:dyDescent="0.3"/>
    <row r="3554" hidden="1" x14ac:dyDescent="0.3"/>
    <row r="3555" hidden="1" x14ac:dyDescent="0.3"/>
    <row r="3556" hidden="1" x14ac:dyDescent="0.3"/>
    <row r="3557" hidden="1" x14ac:dyDescent="0.3"/>
    <row r="3558" hidden="1" x14ac:dyDescent="0.3"/>
    <row r="3559" hidden="1" x14ac:dyDescent="0.3"/>
    <row r="3560" hidden="1" x14ac:dyDescent="0.3"/>
    <row r="3561" hidden="1" x14ac:dyDescent="0.3"/>
    <row r="3562" hidden="1" x14ac:dyDescent="0.3"/>
    <row r="3563" hidden="1" x14ac:dyDescent="0.3"/>
    <row r="3564" hidden="1" x14ac:dyDescent="0.3"/>
    <row r="3565" hidden="1" x14ac:dyDescent="0.3"/>
    <row r="3566" hidden="1" x14ac:dyDescent="0.3"/>
    <row r="3567" hidden="1" x14ac:dyDescent="0.3"/>
    <row r="3568" hidden="1" x14ac:dyDescent="0.3"/>
    <row r="3569" hidden="1" x14ac:dyDescent="0.3"/>
    <row r="3570" hidden="1" x14ac:dyDescent="0.3"/>
    <row r="3571" hidden="1" x14ac:dyDescent="0.3"/>
    <row r="3572" hidden="1" x14ac:dyDescent="0.3"/>
    <row r="3573" hidden="1" x14ac:dyDescent="0.3"/>
    <row r="3574" hidden="1" x14ac:dyDescent="0.3"/>
    <row r="3575" hidden="1" x14ac:dyDescent="0.3"/>
    <row r="3576" hidden="1" x14ac:dyDescent="0.3"/>
    <row r="3577" hidden="1" x14ac:dyDescent="0.3"/>
    <row r="3578" hidden="1" x14ac:dyDescent="0.3"/>
    <row r="3579" hidden="1" x14ac:dyDescent="0.3"/>
    <row r="3580" hidden="1" x14ac:dyDescent="0.3"/>
    <row r="3581" hidden="1" x14ac:dyDescent="0.3"/>
    <row r="3582" hidden="1" x14ac:dyDescent="0.3"/>
    <row r="3583" hidden="1" x14ac:dyDescent="0.3"/>
    <row r="3584" hidden="1" x14ac:dyDescent="0.3"/>
    <row r="3585" hidden="1" x14ac:dyDescent="0.3"/>
    <row r="3586" hidden="1" x14ac:dyDescent="0.3"/>
    <row r="3587" hidden="1" x14ac:dyDescent="0.3"/>
    <row r="3588" hidden="1" x14ac:dyDescent="0.3"/>
    <row r="3589" hidden="1" x14ac:dyDescent="0.3"/>
    <row r="3590" hidden="1" x14ac:dyDescent="0.3"/>
    <row r="3591" hidden="1" x14ac:dyDescent="0.3"/>
    <row r="3592" hidden="1" x14ac:dyDescent="0.3"/>
    <row r="3593" hidden="1" x14ac:dyDescent="0.3"/>
    <row r="3594" hidden="1" x14ac:dyDescent="0.3"/>
    <row r="3595" hidden="1" x14ac:dyDescent="0.3"/>
    <row r="3596" hidden="1" x14ac:dyDescent="0.3"/>
    <row r="3597" hidden="1" x14ac:dyDescent="0.3"/>
    <row r="3598" hidden="1" x14ac:dyDescent="0.3"/>
    <row r="3599" hidden="1" x14ac:dyDescent="0.3"/>
    <row r="3600" hidden="1" x14ac:dyDescent="0.3"/>
    <row r="3601" hidden="1" x14ac:dyDescent="0.3"/>
    <row r="3602" hidden="1" x14ac:dyDescent="0.3"/>
    <row r="3603" hidden="1" x14ac:dyDescent="0.3"/>
    <row r="3604" hidden="1" x14ac:dyDescent="0.3"/>
    <row r="3605" hidden="1" x14ac:dyDescent="0.3"/>
    <row r="3606" hidden="1" x14ac:dyDescent="0.3"/>
    <row r="3607" hidden="1" x14ac:dyDescent="0.3"/>
    <row r="3608" hidden="1" x14ac:dyDescent="0.3"/>
    <row r="3609" hidden="1" x14ac:dyDescent="0.3"/>
    <row r="3610" hidden="1" x14ac:dyDescent="0.3"/>
    <row r="3611" hidden="1" x14ac:dyDescent="0.3"/>
    <row r="3612" hidden="1" x14ac:dyDescent="0.3"/>
    <row r="3613" hidden="1" x14ac:dyDescent="0.3"/>
    <row r="3614" hidden="1" x14ac:dyDescent="0.3"/>
    <row r="3615" hidden="1" x14ac:dyDescent="0.3"/>
    <row r="3616" hidden="1" x14ac:dyDescent="0.3"/>
    <row r="3617" hidden="1" x14ac:dyDescent="0.3"/>
    <row r="3618" hidden="1" x14ac:dyDescent="0.3"/>
    <row r="3619" hidden="1" x14ac:dyDescent="0.3"/>
    <row r="3620" hidden="1" x14ac:dyDescent="0.3"/>
    <row r="3621" hidden="1" x14ac:dyDescent="0.3"/>
    <row r="3622" hidden="1" x14ac:dyDescent="0.3"/>
    <row r="3623" hidden="1" x14ac:dyDescent="0.3"/>
    <row r="3624" hidden="1" x14ac:dyDescent="0.3"/>
    <row r="3625" hidden="1" x14ac:dyDescent="0.3"/>
    <row r="3626" hidden="1" x14ac:dyDescent="0.3"/>
    <row r="3627" hidden="1" x14ac:dyDescent="0.3"/>
    <row r="3628" hidden="1" x14ac:dyDescent="0.3"/>
    <row r="3629" hidden="1" x14ac:dyDescent="0.3"/>
    <row r="3630" hidden="1" x14ac:dyDescent="0.3"/>
    <row r="3631" hidden="1" x14ac:dyDescent="0.3"/>
    <row r="3632" hidden="1" x14ac:dyDescent="0.3"/>
    <row r="3633" hidden="1" x14ac:dyDescent="0.3"/>
    <row r="3634" hidden="1" x14ac:dyDescent="0.3"/>
    <row r="3635" hidden="1" x14ac:dyDescent="0.3"/>
    <row r="3636" hidden="1" x14ac:dyDescent="0.3"/>
    <row r="3637" hidden="1" x14ac:dyDescent="0.3"/>
    <row r="3638" hidden="1" x14ac:dyDescent="0.3"/>
    <row r="3639" hidden="1" x14ac:dyDescent="0.3"/>
    <row r="3640" hidden="1" x14ac:dyDescent="0.3"/>
    <row r="3641" hidden="1" x14ac:dyDescent="0.3"/>
    <row r="3642" hidden="1" x14ac:dyDescent="0.3"/>
    <row r="3643" hidden="1" x14ac:dyDescent="0.3"/>
    <row r="3644" hidden="1" x14ac:dyDescent="0.3"/>
    <row r="3645" hidden="1" x14ac:dyDescent="0.3"/>
    <row r="3646" hidden="1" x14ac:dyDescent="0.3"/>
    <row r="3647" hidden="1" x14ac:dyDescent="0.3"/>
    <row r="3648" hidden="1" x14ac:dyDescent="0.3"/>
    <row r="3649" hidden="1" x14ac:dyDescent="0.3"/>
    <row r="3650" hidden="1" x14ac:dyDescent="0.3"/>
    <row r="3651" hidden="1" x14ac:dyDescent="0.3"/>
    <row r="3652" hidden="1" x14ac:dyDescent="0.3"/>
    <row r="3653" hidden="1" x14ac:dyDescent="0.3"/>
    <row r="3654" hidden="1" x14ac:dyDescent="0.3"/>
    <row r="3655" hidden="1" x14ac:dyDescent="0.3"/>
    <row r="3656" hidden="1" x14ac:dyDescent="0.3"/>
    <row r="3657" hidden="1" x14ac:dyDescent="0.3"/>
    <row r="3658" hidden="1" x14ac:dyDescent="0.3"/>
    <row r="3659" hidden="1" x14ac:dyDescent="0.3"/>
    <row r="3660" hidden="1" x14ac:dyDescent="0.3"/>
    <row r="3661" hidden="1" x14ac:dyDescent="0.3"/>
    <row r="3662" hidden="1" x14ac:dyDescent="0.3"/>
    <row r="3663" hidden="1" x14ac:dyDescent="0.3"/>
    <row r="3664" hidden="1" x14ac:dyDescent="0.3"/>
    <row r="3665" hidden="1" x14ac:dyDescent="0.3"/>
    <row r="3666" hidden="1" x14ac:dyDescent="0.3"/>
    <row r="3667" hidden="1" x14ac:dyDescent="0.3"/>
    <row r="3668" hidden="1" x14ac:dyDescent="0.3"/>
    <row r="3669" hidden="1" x14ac:dyDescent="0.3"/>
    <row r="3670" hidden="1" x14ac:dyDescent="0.3"/>
    <row r="3671" hidden="1" x14ac:dyDescent="0.3"/>
    <row r="3672" hidden="1" x14ac:dyDescent="0.3"/>
    <row r="3673" hidden="1" x14ac:dyDescent="0.3"/>
    <row r="3674" hidden="1" x14ac:dyDescent="0.3"/>
    <row r="3675" hidden="1" x14ac:dyDescent="0.3"/>
    <row r="3676" hidden="1" x14ac:dyDescent="0.3"/>
    <row r="3677" hidden="1" x14ac:dyDescent="0.3"/>
    <row r="3678" hidden="1" x14ac:dyDescent="0.3"/>
    <row r="3679" hidden="1" x14ac:dyDescent="0.3"/>
    <row r="3680" hidden="1" x14ac:dyDescent="0.3"/>
    <row r="3681" hidden="1" x14ac:dyDescent="0.3"/>
    <row r="3682" hidden="1" x14ac:dyDescent="0.3"/>
    <row r="3683" hidden="1" x14ac:dyDescent="0.3"/>
    <row r="3684" hidden="1" x14ac:dyDescent="0.3"/>
    <row r="3685" hidden="1" x14ac:dyDescent="0.3"/>
    <row r="3686" hidden="1" x14ac:dyDescent="0.3"/>
    <row r="3687" hidden="1" x14ac:dyDescent="0.3"/>
    <row r="3688" hidden="1" x14ac:dyDescent="0.3"/>
    <row r="3689" hidden="1" x14ac:dyDescent="0.3"/>
    <row r="3690" hidden="1" x14ac:dyDescent="0.3"/>
    <row r="3691" hidden="1" x14ac:dyDescent="0.3"/>
    <row r="3692" hidden="1" x14ac:dyDescent="0.3"/>
    <row r="3693" hidden="1" x14ac:dyDescent="0.3"/>
    <row r="3694" hidden="1" x14ac:dyDescent="0.3"/>
    <row r="3695" hidden="1" x14ac:dyDescent="0.3"/>
    <row r="3696" hidden="1" x14ac:dyDescent="0.3"/>
    <row r="3697" hidden="1" x14ac:dyDescent="0.3"/>
    <row r="3698" hidden="1" x14ac:dyDescent="0.3"/>
    <row r="3699" hidden="1" x14ac:dyDescent="0.3"/>
    <row r="3700" hidden="1" x14ac:dyDescent="0.3"/>
    <row r="3701" hidden="1" x14ac:dyDescent="0.3"/>
    <row r="3702" hidden="1" x14ac:dyDescent="0.3"/>
    <row r="3703" hidden="1" x14ac:dyDescent="0.3"/>
    <row r="3704" hidden="1" x14ac:dyDescent="0.3"/>
    <row r="3705" hidden="1" x14ac:dyDescent="0.3"/>
    <row r="3706" hidden="1" x14ac:dyDescent="0.3"/>
    <row r="3707" hidden="1" x14ac:dyDescent="0.3"/>
    <row r="3708" hidden="1" x14ac:dyDescent="0.3"/>
    <row r="3709" hidden="1" x14ac:dyDescent="0.3"/>
    <row r="3710" hidden="1" x14ac:dyDescent="0.3"/>
    <row r="3711" hidden="1" x14ac:dyDescent="0.3"/>
    <row r="3712" hidden="1" x14ac:dyDescent="0.3"/>
    <row r="3713" hidden="1" x14ac:dyDescent="0.3"/>
    <row r="3714" hidden="1" x14ac:dyDescent="0.3"/>
    <row r="3715" hidden="1" x14ac:dyDescent="0.3"/>
    <row r="3716" hidden="1" x14ac:dyDescent="0.3"/>
    <row r="3717" hidden="1" x14ac:dyDescent="0.3"/>
    <row r="3718" hidden="1" x14ac:dyDescent="0.3"/>
    <row r="3719" hidden="1" x14ac:dyDescent="0.3"/>
    <row r="3720" hidden="1" x14ac:dyDescent="0.3"/>
    <row r="3721" hidden="1" x14ac:dyDescent="0.3"/>
    <row r="3722" hidden="1" x14ac:dyDescent="0.3"/>
    <row r="3723" hidden="1" x14ac:dyDescent="0.3"/>
    <row r="3724" hidden="1" x14ac:dyDescent="0.3"/>
    <row r="3725" hidden="1" x14ac:dyDescent="0.3"/>
    <row r="3726" hidden="1" x14ac:dyDescent="0.3"/>
    <row r="3727" hidden="1" x14ac:dyDescent="0.3"/>
    <row r="3728" hidden="1" x14ac:dyDescent="0.3"/>
    <row r="3729" hidden="1" x14ac:dyDescent="0.3"/>
    <row r="3730" hidden="1" x14ac:dyDescent="0.3"/>
    <row r="3731" hidden="1" x14ac:dyDescent="0.3"/>
    <row r="3732" hidden="1" x14ac:dyDescent="0.3"/>
    <row r="3733" hidden="1" x14ac:dyDescent="0.3"/>
    <row r="3734" hidden="1" x14ac:dyDescent="0.3"/>
    <row r="3735" hidden="1" x14ac:dyDescent="0.3"/>
    <row r="3736" hidden="1" x14ac:dyDescent="0.3"/>
    <row r="3737" hidden="1" x14ac:dyDescent="0.3"/>
    <row r="3738" hidden="1" x14ac:dyDescent="0.3"/>
    <row r="3739" hidden="1" x14ac:dyDescent="0.3"/>
    <row r="3740" hidden="1" x14ac:dyDescent="0.3"/>
    <row r="3741" hidden="1" x14ac:dyDescent="0.3"/>
    <row r="3742" hidden="1" x14ac:dyDescent="0.3"/>
    <row r="3743" hidden="1" x14ac:dyDescent="0.3"/>
    <row r="3744" hidden="1" x14ac:dyDescent="0.3"/>
    <row r="3745" hidden="1" x14ac:dyDescent="0.3"/>
    <row r="3746" hidden="1" x14ac:dyDescent="0.3"/>
    <row r="3747" hidden="1" x14ac:dyDescent="0.3"/>
    <row r="3748" hidden="1" x14ac:dyDescent="0.3"/>
    <row r="3749" hidden="1" x14ac:dyDescent="0.3"/>
    <row r="3750" hidden="1" x14ac:dyDescent="0.3"/>
    <row r="3751" hidden="1" x14ac:dyDescent="0.3"/>
    <row r="3752" hidden="1" x14ac:dyDescent="0.3"/>
    <row r="3753" hidden="1" x14ac:dyDescent="0.3"/>
    <row r="3754" hidden="1" x14ac:dyDescent="0.3"/>
    <row r="3755" hidden="1" x14ac:dyDescent="0.3"/>
    <row r="3756" hidden="1" x14ac:dyDescent="0.3"/>
    <row r="3757" hidden="1" x14ac:dyDescent="0.3"/>
    <row r="3758" hidden="1" x14ac:dyDescent="0.3"/>
    <row r="3759" hidden="1" x14ac:dyDescent="0.3"/>
    <row r="3760" hidden="1" x14ac:dyDescent="0.3"/>
    <row r="3761" hidden="1" x14ac:dyDescent="0.3"/>
    <row r="3762" hidden="1" x14ac:dyDescent="0.3"/>
    <row r="3763" hidden="1" x14ac:dyDescent="0.3"/>
    <row r="3764" hidden="1" x14ac:dyDescent="0.3"/>
    <row r="3765" hidden="1" x14ac:dyDescent="0.3"/>
    <row r="3766" hidden="1" x14ac:dyDescent="0.3"/>
    <row r="3767" hidden="1" x14ac:dyDescent="0.3"/>
    <row r="3768" hidden="1" x14ac:dyDescent="0.3"/>
    <row r="3769" hidden="1" x14ac:dyDescent="0.3"/>
    <row r="3770" hidden="1" x14ac:dyDescent="0.3"/>
    <row r="3771" hidden="1" x14ac:dyDescent="0.3"/>
    <row r="3772" hidden="1" x14ac:dyDescent="0.3"/>
    <row r="3773" hidden="1" x14ac:dyDescent="0.3"/>
    <row r="3774" hidden="1" x14ac:dyDescent="0.3"/>
    <row r="3775" hidden="1" x14ac:dyDescent="0.3"/>
    <row r="3776" hidden="1" x14ac:dyDescent="0.3"/>
    <row r="3777" hidden="1" x14ac:dyDescent="0.3"/>
    <row r="3778" hidden="1" x14ac:dyDescent="0.3"/>
    <row r="3779" hidden="1" x14ac:dyDescent="0.3"/>
    <row r="3780" hidden="1" x14ac:dyDescent="0.3"/>
    <row r="3781" hidden="1" x14ac:dyDescent="0.3"/>
    <row r="3782" hidden="1" x14ac:dyDescent="0.3"/>
    <row r="3783" hidden="1" x14ac:dyDescent="0.3"/>
    <row r="3784" hidden="1" x14ac:dyDescent="0.3"/>
    <row r="3785" hidden="1" x14ac:dyDescent="0.3"/>
    <row r="3786" hidden="1" x14ac:dyDescent="0.3"/>
    <row r="3787" hidden="1" x14ac:dyDescent="0.3"/>
    <row r="3788" hidden="1" x14ac:dyDescent="0.3"/>
    <row r="3789" hidden="1" x14ac:dyDescent="0.3"/>
    <row r="3790" hidden="1" x14ac:dyDescent="0.3"/>
    <row r="3791" hidden="1" x14ac:dyDescent="0.3"/>
    <row r="3792" hidden="1" x14ac:dyDescent="0.3"/>
    <row r="3793" hidden="1" x14ac:dyDescent="0.3"/>
    <row r="3794" hidden="1" x14ac:dyDescent="0.3"/>
    <row r="3795" hidden="1" x14ac:dyDescent="0.3"/>
    <row r="3796" hidden="1" x14ac:dyDescent="0.3"/>
    <row r="3797" hidden="1" x14ac:dyDescent="0.3"/>
    <row r="3798" hidden="1" x14ac:dyDescent="0.3"/>
    <row r="3799" hidden="1" x14ac:dyDescent="0.3"/>
    <row r="3800" hidden="1" x14ac:dyDescent="0.3"/>
    <row r="3801" hidden="1" x14ac:dyDescent="0.3"/>
    <row r="3802" hidden="1" x14ac:dyDescent="0.3"/>
    <row r="3803" hidden="1" x14ac:dyDescent="0.3"/>
    <row r="3804" hidden="1" x14ac:dyDescent="0.3"/>
    <row r="3805" hidden="1" x14ac:dyDescent="0.3"/>
    <row r="3806" hidden="1" x14ac:dyDescent="0.3"/>
    <row r="3807" hidden="1" x14ac:dyDescent="0.3"/>
    <row r="3808" hidden="1" x14ac:dyDescent="0.3"/>
    <row r="3809" hidden="1" x14ac:dyDescent="0.3"/>
    <row r="3810" hidden="1" x14ac:dyDescent="0.3"/>
    <row r="3811" hidden="1" x14ac:dyDescent="0.3"/>
    <row r="3812" hidden="1" x14ac:dyDescent="0.3"/>
    <row r="3813" hidden="1" x14ac:dyDescent="0.3"/>
    <row r="3814" hidden="1" x14ac:dyDescent="0.3"/>
    <row r="3815" hidden="1" x14ac:dyDescent="0.3"/>
    <row r="3816" hidden="1" x14ac:dyDescent="0.3"/>
    <row r="3817" hidden="1" x14ac:dyDescent="0.3"/>
    <row r="3818" hidden="1" x14ac:dyDescent="0.3"/>
    <row r="3819" hidden="1" x14ac:dyDescent="0.3"/>
    <row r="3820" hidden="1" x14ac:dyDescent="0.3"/>
    <row r="3821" hidden="1" x14ac:dyDescent="0.3"/>
    <row r="3822" hidden="1" x14ac:dyDescent="0.3"/>
    <row r="3823" hidden="1" x14ac:dyDescent="0.3"/>
    <row r="3824" hidden="1" x14ac:dyDescent="0.3"/>
    <row r="3825" hidden="1" x14ac:dyDescent="0.3"/>
    <row r="3826" hidden="1" x14ac:dyDescent="0.3"/>
    <row r="3827" hidden="1" x14ac:dyDescent="0.3"/>
    <row r="3828" hidden="1" x14ac:dyDescent="0.3"/>
    <row r="3829" hidden="1" x14ac:dyDescent="0.3"/>
    <row r="3830" hidden="1" x14ac:dyDescent="0.3"/>
    <row r="3831" hidden="1" x14ac:dyDescent="0.3"/>
    <row r="3832" hidden="1" x14ac:dyDescent="0.3"/>
    <row r="3833" hidden="1" x14ac:dyDescent="0.3"/>
    <row r="3834" hidden="1" x14ac:dyDescent="0.3"/>
    <row r="3835" hidden="1" x14ac:dyDescent="0.3"/>
    <row r="3836" hidden="1" x14ac:dyDescent="0.3"/>
    <row r="3837" hidden="1" x14ac:dyDescent="0.3"/>
    <row r="3838" hidden="1" x14ac:dyDescent="0.3"/>
    <row r="3839" hidden="1" x14ac:dyDescent="0.3"/>
    <row r="3840" hidden="1" x14ac:dyDescent="0.3"/>
    <row r="3841" hidden="1" x14ac:dyDescent="0.3"/>
    <row r="3842" hidden="1" x14ac:dyDescent="0.3"/>
    <row r="3843" hidden="1" x14ac:dyDescent="0.3"/>
    <row r="3844" hidden="1" x14ac:dyDescent="0.3"/>
    <row r="3845" hidden="1" x14ac:dyDescent="0.3"/>
    <row r="3846" hidden="1" x14ac:dyDescent="0.3"/>
    <row r="3847" hidden="1" x14ac:dyDescent="0.3"/>
    <row r="3848" hidden="1" x14ac:dyDescent="0.3"/>
    <row r="3849" hidden="1" x14ac:dyDescent="0.3"/>
    <row r="3850" hidden="1" x14ac:dyDescent="0.3"/>
    <row r="3851" hidden="1" x14ac:dyDescent="0.3"/>
    <row r="3852" hidden="1" x14ac:dyDescent="0.3"/>
    <row r="3853" hidden="1" x14ac:dyDescent="0.3"/>
    <row r="3854" hidden="1" x14ac:dyDescent="0.3"/>
    <row r="3855" hidden="1" x14ac:dyDescent="0.3"/>
    <row r="3856" hidden="1" x14ac:dyDescent="0.3"/>
    <row r="3857" hidden="1" x14ac:dyDescent="0.3"/>
    <row r="3858" hidden="1" x14ac:dyDescent="0.3"/>
    <row r="3859" hidden="1" x14ac:dyDescent="0.3"/>
    <row r="3860" hidden="1" x14ac:dyDescent="0.3"/>
    <row r="3861" hidden="1" x14ac:dyDescent="0.3"/>
    <row r="3862" hidden="1" x14ac:dyDescent="0.3"/>
    <row r="3863" hidden="1" x14ac:dyDescent="0.3"/>
    <row r="3864" hidden="1" x14ac:dyDescent="0.3"/>
    <row r="3865" hidden="1" x14ac:dyDescent="0.3"/>
    <row r="3866" hidden="1" x14ac:dyDescent="0.3"/>
    <row r="3867" hidden="1" x14ac:dyDescent="0.3"/>
    <row r="3868" hidden="1" x14ac:dyDescent="0.3"/>
    <row r="3869" hidden="1" x14ac:dyDescent="0.3"/>
    <row r="3870" hidden="1" x14ac:dyDescent="0.3"/>
    <row r="3871" hidden="1" x14ac:dyDescent="0.3"/>
    <row r="3872" hidden="1" x14ac:dyDescent="0.3"/>
    <row r="3873" hidden="1" x14ac:dyDescent="0.3"/>
    <row r="3874" hidden="1" x14ac:dyDescent="0.3"/>
    <row r="3875" hidden="1" x14ac:dyDescent="0.3"/>
    <row r="3876" hidden="1" x14ac:dyDescent="0.3"/>
    <row r="3877" hidden="1" x14ac:dyDescent="0.3"/>
    <row r="3878" hidden="1" x14ac:dyDescent="0.3"/>
    <row r="3879" hidden="1" x14ac:dyDescent="0.3"/>
    <row r="3880" hidden="1" x14ac:dyDescent="0.3"/>
    <row r="3881" hidden="1" x14ac:dyDescent="0.3"/>
    <row r="3882" hidden="1" x14ac:dyDescent="0.3"/>
    <row r="3883" hidden="1" x14ac:dyDescent="0.3"/>
    <row r="3884" hidden="1" x14ac:dyDescent="0.3"/>
    <row r="3885" hidden="1" x14ac:dyDescent="0.3"/>
    <row r="3886" hidden="1" x14ac:dyDescent="0.3"/>
    <row r="3887" hidden="1" x14ac:dyDescent="0.3"/>
    <row r="3888" hidden="1" x14ac:dyDescent="0.3"/>
    <row r="3889" hidden="1" x14ac:dyDescent="0.3"/>
    <row r="3890" hidden="1" x14ac:dyDescent="0.3"/>
    <row r="3891" hidden="1" x14ac:dyDescent="0.3"/>
    <row r="3892" hidden="1" x14ac:dyDescent="0.3"/>
    <row r="3893" hidden="1" x14ac:dyDescent="0.3"/>
    <row r="3894" hidden="1" x14ac:dyDescent="0.3"/>
    <row r="3895" hidden="1" x14ac:dyDescent="0.3"/>
    <row r="3896" hidden="1" x14ac:dyDescent="0.3"/>
    <row r="3897" hidden="1" x14ac:dyDescent="0.3"/>
    <row r="3898" hidden="1" x14ac:dyDescent="0.3"/>
    <row r="3899" hidden="1" x14ac:dyDescent="0.3"/>
    <row r="3900" hidden="1" x14ac:dyDescent="0.3"/>
    <row r="3901" hidden="1" x14ac:dyDescent="0.3"/>
    <row r="3902" hidden="1" x14ac:dyDescent="0.3"/>
    <row r="3903" hidden="1" x14ac:dyDescent="0.3"/>
    <row r="3904" hidden="1" x14ac:dyDescent="0.3"/>
    <row r="3905" hidden="1" x14ac:dyDescent="0.3"/>
    <row r="3906" hidden="1" x14ac:dyDescent="0.3"/>
    <row r="3907" hidden="1" x14ac:dyDescent="0.3"/>
    <row r="3908" hidden="1" x14ac:dyDescent="0.3"/>
    <row r="3909" hidden="1" x14ac:dyDescent="0.3"/>
    <row r="3910" hidden="1" x14ac:dyDescent="0.3"/>
    <row r="3911" hidden="1" x14ac:dyDescent="0.3"/>
    <row r="3912" hidden="1" x14ac:dyDescent="0.3"/>
    <row r="3913" hidden="1" x14ac:dyDescent="0.3"/>
    <row r="3914" hidden="1" x14ac:dyDescent="0.3"/>
    <row r="3915" hidden="1" x14ac:dyDescent="0.3"/>
    <row r="3916" hidden="1" x14ac:dyDescent="0.3"/>
    <row r="3917" hidden="1" x14ac:dyDescent="0.3"/>
    <row r="3918" hidden="1" x14ac:dyDescent="0.3"/>
    <row r="3919" hidden="1" x14ac:dyDescent="0.3"/>
    <row r="3920" hidden="1" x14ac:dyDescent="0.3"/>
    <row r="3921" hidden="1" x14ac:dyDescent="0.3"/>
    <row r="3922" hidden="1" x14ac:dyDescent="0.3"/>
    <row r="3923" hidden="1" x14ac:dyDescent="0.3"/>
    <row r="3924" hidden="1" x14ac:dyDescent="0.3"/>
    <row r="3925" hidden="1" x14ac:dyDescent="0.3"/>
    <row r="3926" hidden="1" x14ac:dyDescent="0.3"/>
    <row r="3927" hidden="1" x14ac:dyDescent="0.3"/>
    <row r="3928" hidden="1" x14ac:dyDescent="0.3"/>
    <row r="3929" hidden="1" x14ac:dyDescent="0.3"/>
    <row r="3930" hidden="1" x14ac:dyDescent="0.3"/>
    <row r="3931" hidden="1" x14ac:dyDescent="0.3"/>
    <row r="3932" hidden="1" x14ac:dyDescent="0.3"/>
    <row r="3933" hidden="1" x14ac:dyDescent="0.3"/>
    <row r="3934" hidden="1" x14ac:dyDescent="0.3"/>
    <row r="3935" hidden="1" x14ac:dyDescent="0.3"/>
    <row r="3936" hidden="1" x14ac:dyDescent="0.3"/>
    <row r="3937" hidden="1" x14ac:dyDescent="0.3"/>
    <row r="3938" hidden="1" x14ac:dyDescent="0.3"/>
    <row r="3939" hidden="1" x14ac:dyDescent="0.3"/>
    <row r="3940" hidden="1" x14ac:dyDescent="0.3"/>
    <row r="3941" hidden="1" x14ac:dyDescent="0.3"/>
    <row r="3942" hidden="1" x14ac:dyDescent="0.3"/>
    <row r="3943" hidden="1" x14ac:dyDescent="0.3"/>
    <row r="3944" hidden="1" x14ac:dyDescent="0.3"/>
    <row r="3945" hidden="1" x14ac:dyDescent="0.3"/>
    <row r="3946" hidden="1" x14ac:dyDescent="0.3"/>
    <row r="3947" hidden="1" x14ac:dyDescent="0.3"/>
    <row r="3948" hidden="1" x14ac:dyDescent="0.3"/>
    <row r="3949" hidden="1" x14ac:dyDescent="0.3"/>
    <row r="3950" hidden="1" x14ac:dyDescent="0.3"/>
    <row r="3951" hidden="1" x14ac:dyDescent="0.3"/>
    <row r="3952" hidden="1" x14ac:dyDescent="0.3"/>
    <row r="3953" hidden="1" x14ac:dyDescent="0.3"/>
    <row r="3954" hidden="1" x14ac:dyDescent="0.3"/>
    <row r="3955" hidden="1" x14ac:dyDescent="0.3"/>
    <row r="3956" hidden="1" x14ac:dyDescent="0.3"/>
    <row r="3957" hidden="1" x14ac:dyDescent="0.3"/>
    <row r="3958" hidden="1" x14ac:dyDescent="0.3"/>
    <row r="3959" hidden="1" x14ac:dyDescent="0.3"/>
    <row r="3960" hidden="1" x14ac:dyDescent="0.3"/>
    <row r="3961" hidden="1" x14ac:dyDescent="0.3"/>
    <row r="3962" hidden="1" x14ac:dyDescent="0.3"/>
    <row r="3963" hidden="1" x14ac:dyDescent="0.3"/>
    <row r="3964" hidden="1" x14ac:dyDescent="0.3"/>
    <row r="3965" hidden="1" x14ac:dyDescent="0.3"/>
    <row r="3966" hidden="1" x14ac:dyDescent="0.3"/>
    <row r="3967" hidden="1" x14ac:dyDescent="0.3"/>
    <row r="3968" hidden="1" x14ac:dyDescent="0.3"/>
    <row r="3969" hidden="1" x14ac:dyDescent="0.3"/>
    <row r="3970" hidden="1" x14ac:dyDescent="0.3"/>
    <row r="3971" hidden="1" x14ac:dyDescent="0.3"/>
    <row r="3972" hidden="1" x14ac:dyDescent="0.3"/>
    <row r="3973" hidden="1" x14ac:dyDescent="0.3"/>
    <row r="3974" hidden="1" x14ac:dyDescent="0.3"/>
    <row r="3975" hidden="1" x14ac:dyDescent="0.3"/>
    <row r="3976" hidden="1" x14ac:dyDescent="0.3"/>
    <row r="3977" hidden="1" x14ac:dyDescent="0.3"/>
    <row r="3978" hidden="1" x14ac:dyDescent="0.3"/>
    <row r="3979" hidden="1" x14ac:dyDescent="0.3"/>
    <row r="3980" hidden="1" x14ac:dyDescent="0.3"/>
    <row r="3981" hidden="1" x14ac:dyDescent="0.3"/>
    <row r="3982" hidden="1" x14ac:dyDescent="0.3"/>
    <row r="3983" hidden="1" x14ac:dyDescent="0.3"/>
    <row r="3984" hidden="1" x14ac:dyDescent="0.3"/>
    <row r="3985" hidden="1" x14ac:dyDescent="0.3"/>
    <row r="3986" hidden="1" x14ac:dyDescent="0.3"/>
    <row r="3987" hidden="1" x14ac:dyDescent="0.3"/>
    <row r="3988" hidden="1" x14ac:dyDescent="0.3"/>
    <row r="3989" hidden="1" x14ac:dyDescent="0.3"/>
    <row r="3990" hidden="1" x14ac:dyDescent="0.3"/>
    <row r="3991" hidden="1" x14ac:dyDescent="0.3"/>
    <row r="3992" hidden="1" x14ac:dyDescent="0.3"/>
    <row r="3993" hidden="1" x14ac:dyDescent="0.3"/>
    <row r="3994" hidden="1" x14ac:dyDescent="0.3"/>
    <row r="3995" hidden="1" x14ac:dyDescent="0.3"/>
    <row r="3996" hidden="1" x14ac:dyDescent="0.3"/>
    <row r="3997" hidden="1" x14ac:dyDescent="0.3"/>
    <row r="3998" hidden="1" x14ac:dyDescent="0.3"/>
    <row r="3999" hidden="1" x14ac:dyDescent="0.3"/>
    <row r="4000" hidden="1" x14ac:dyDescent="0.3"/>
    <row r="4001" hidden="1" x14ac:dyDescent="0.3"/>
    <row r="4002" hidden="1" x14ac:dyDescent="0.3"/>
    <row r="4003" hidden="1" x14ac:dyDescent="0.3"/>
    <row r="4004" hidden="1" x14ac:dyDescent="0.3"/>
    <row r="4005" hidden="1" x14ac:dyDescent="0.3"/>
    <row r="4006" hidden="1" x14ac:dyDescent="0.3"/>
    <row r="4007" hidden="1" x14ac:dyDescent="0.3"/>
    <row r="4008" hidden="1" x14ac:dyDescent="0.3"/>
    <row r="4009" hidden="1" x14ac:dyDescent="0.3"/>
    <row r="4010" hidden="1" x14ac:dyDescent="0.3"/>
    <row r="4011" hidden="1" x14ac:dyDescent="0.3"/>
    <row r="4012" hidden="1" x14ac:dyDescent="0.3"/>
    <row r="4013" hidden="1" x14ac:dyDescent="0.3"/>
    <row r="4014" hidden="1" x14ac:dyDescent="0.3"/>
    <row r="4015" hidden="1" x14ac:dyDescent="0.3"/>
    <row r="4016" hidden="1" x14ac:dyDescent="0.3"/>
    <row r="4017" hidden="1" x14ac:dyDescent="0.3"/>
    <row r="4018" hidden="1" x14ac:dyDescent="0.3"/>
    <row r="4019" hidden="1" x14ac:dyDescent="0.3"/>
    <row r="4020" hidden="1" x14ac:dyDescent="0.3"/>
    <row r="4021" hidden="1" x14ac:dyDescent="0.3"/>
    <row r="4022" hidden="1" x14ac:dyDescent="0.3"/>
    <row r="4023" hidden="1" x14ac:dyDescent="0.3"/>
    <row r="4024" hidden="1" x14ac:dyDescent="0.3"/>
    <row r="4025" hidden="1" x14ac:dyDescent="0.3"/>
    <row r="4026" hidden="1" x14ac:dyDescent="0.3"/>
    <row r="4027" hidden="1" x14ac:dyDescent="0.3"/>
    <row r="4028" hidden="1" x14ac:dyDescent="0.3"/>
    <row r="4029" hidden="1" x14ac:dyDescent="0.3"/>
    <row r="4030" hidden="1" x14ac:dyDescent="0.3"/>
    <row r="4031" hidden="1" x14ac:dyDescent="0.3"/>
    <row r="4032" hidden="1" x14ac:dyDescent="0.3"/>
    <row r="4033" hidden="1" x14ac:dyDescent="0.3"/>
    <row r="4034" hidden="1" x14ac:dyDescent="0.3"/>
    <row r="4035" hidden="1" x14ac:dyDescent="0.3"/>
    <row r="4036" hidden="1" x14ac:dyDescent="0.3"/>
    <row r="4037" hidden="1" x14ac:dyDescent="0.3"/>
    <row r="4038" hidden="1" x14ac:dyDescent="0.3"/>
    <row r="4039" hidden="1" x14ac:dyDescent="0.3"/>
    <row r="4040" hidden="1" x14ac:dyDescent="0.3"/>
    <row r="4041" hidden="1" x14ac:dyDescent="0.3"/>
    <row r="4042" hidden="1" x14ac:dyDescent="0.3"/>
    <row r="4043" hidden="1" x14ac:dyDescent="0.3"/>
    <row r="4044" hidden="1" x14ac:dyDescent="0.3"/>
    <row r="4045" hidden="1" x14ac:dyDescent="0.3"/>
    <row r="4046" hidden="1" x14ac:dyDescent="0.3"/>
    <row r="4047" hidden="1" x14ac:dyDescent="0.3"/>
    <row r="4048" hidden="1" x14ac:dyDescent="0.3"/>
    <row r="4049" hidden="1" x14ac:dyDescent="0.3"/>
    <row r="4050" hidden="1" x14ac:dyDescent="0.3"/>
    <row r="4051" hidden="1" x14ac:dyDescent="0.3"/>
    <row r="4052" hidden="1" x14ac:dyDescent="0.3"/>
    <row r="4053" hidden="1" x14ac:dyDescent="0.3"/>
    <row r="4054" hidden="1" x14ac:dyDescent="0.3"/>
    <row r="4055" hidden="1" x14ac:dyDescent="0.3"/>
    <row r="4056" hidden="1" x14ac:dyDescent="0.3"/>
    <row r="4057" hidden="1" x14ac:dyDescent="0.3"/>
    <row r="4058" hidden="1" x14ac:dyDescent="0.3"/>
    <row r="4059" hidden="1" x14ac:dyDescent="0.3"/>
    <row r="4060" hidden="1" x14ac:dyDescent="0.3"/>
    <row r="4061" hidden="1" x14ac:dyDescent="0.3"/>
    <row r="4062" hidden="1" x14ac:dyDescent="0.3"/>
    <row r="4063" hidden="1" x14ac:dyDescent="0.3"/>
    <row r="4064" hidden="1" x14ac:dyDescent="0.3"/>
    <row r="4065" hidden="1" x14ac:dyDescent="0.3"/>
    <row r="4066" hidden="1" x14ac:dyDescent="0.3"/>
    <row r="4067" hidden="1" x14ac:dyDescent="0.3"/>
    <row r="4068" hidden="1" x14ac:dyDescent="0.3"/>
    <row r="4069" hidden="1" x14ac:dyDescent="0.3"/>
    <row r="4070" hidden="1" x14ac:dyDescent="0.3"/>
    <row r="4071" hidden="1" x14ac:dyDescent="0.3"/>
    <row r="4072" hidden="1" x14ac:dyDescent="0.3"/>
    <row r="4073" hidden="1" x14ac:dyDescent="0.3"/>
    <row r="4074" hidden="1" x14ac:dyDescent="0.3"/>
    <row r="4075" hidden="1" x14ac:dyDescent="0.3"/>
    <row r="4076" hidden="1" x14ac:dyDescent="0.3"/>
    <row r="4077" hidden="1" x14ac:dyDescent="0.3"/>
    <row r="4078" hidden="1" x14ac:dyDescent="0.3"/>
    <row r="4079" hidden="1" x14ac:dyDescent="0.3"/>
    <row r="4080" hidden="1" x14ac:dyDescent="0.3"/>
    <row r="4081" hidden="1" x14ac:dyDescent="0.3"/>
    <row r="4082" hidden="1" x14ac:dyDescent="0.3"/>
    <row r="4083" hidden="1" x14ac:dyDescent="0.3"/>
    <row r="4084" hidden="1" x14ac:dyDescent="0.3"/>
    <row r="4085" hidden="1" x14ac:dyDescent="0.3"/>
    <row r="4086" hidden="1" x14ac:dyDescent="0.3"/>
    <row r="4087" hidden="1" x14ac:dyDescent="0.3"/>
    <row r="4088" hidden="1" x14ac:dyDescent="0.3"/>
    <row r="4089" hidden="1" x14ac:dyDescent="0.3"/>
    <row r="4090" hidden="1" x14ac:dyDescent="0.3"/>
    <row r="4091" hidden="1" x14ac:dyDescent="0.3"/>
    <row r="4092" hidden="1" x14ac:dyDescent="0.3"/>
    <row r="4093" hidden="1" x14ac:dyDescent="0.3"/>
    <row r="4094" hidden="1" x14ac:dyDescent="0.3"/>
    <row r="4095" hidden="1" x14ac:dyDescent="0.3"/>
    <row r="4096" hidden="1" x14ac:dyDescent="0.3"/>
    <row r="4097" hidden="1" x14ac:dyDescent="0.3"/>
    <row r="4098" hidden="1" x14ac:dyDescent="0.3"/>
    <row r="4099" hidden="1" x14ac:dyDescent="0.3"/>
    <row r="4100" hidden="1" x14ac:dyDescent="0.3"/>
    <row r="4101" hidden="1" x14ac:dyDescent="0.3"/>
    <row r="4102" hidden="1" x14ac:dyDescent="0.3"/>
    <row r="4103" hidden="1" x14ac:dyDescent="0.3"/>
    <row r="4104" hidden="1" x14ac:dyDescent="0.3"/>
    <row r="4105" hidden="1" x14ac:dyDescent="0.3"/>
    <row r="4106" hidden="1" x14ac:dyDescent="0.3"/>
    <row r="4107" hidden="1" x14ac:dyDescent="0.3"/>
    <row r="4108" hidden="1" x14ac:dyDescent="0.3"/>
    <row r="4109" hidden="1" x14ac:dyDescent="0.3"/>
    <row r="4110" hidden="1" x14ac:dyDescent="0.3"/>
    <row r="4111" hidden="1" x14ac:dyDescent="0.3"/>
    <row r="4112" hidden="1" x14ac:dyDescent="0.3"/>
    <row r="4113" hidden="1" x14ac:dyDescent="0.3"/>
    <row r="4114" hidden="1" x14ac:dyDescent="0.3"/>
    <row r="4115" hidden="1" x14ac:dyDescent="0.3"/>
    <row r="4116" hidden="1" x14ac:dyDescent="0.3"/>
    <row r="4117" hidden="1" x14ac:dyDescent="0.3"/>
    <row r="4118" hidden="1" x14ac:dyDescent="0.3"/>
    <row r="4119" hidden="1" x14ac:dyDescent="0.3"/>
    <row r="4120" hidden="1" x14ac:dyDescent="0.3"/>
    <row r="4121" hidden="1" x14ac:dyDescent="0.3"/>
    <row r="4122" hidden="1" x14ac:dyDescent="0.3"/>
    <row r="4123" hidden="1" x14ac:dyDescent="0.3"/>
    <row r="4124" hidden="1" x14ac:dyDescent="0.3"/>
    <row r="4125" hidden="1" x14ac:dyDescent="0.3"/>
    <row r="4126" hidden="1" x14ac:dyDescent="0.3"/>
    <row r="4127" hidden="1" x14ac:dyDescent="0.3"/>
    <row r="4128" hidden="1" x14ac:dyDescent="0.3"/>
    <row r="4129" hidden="1" x14ac:dyDescent="0.3"/>
    <row r="4130" hidden="1" x14ac:dyDescent="0.3"/>
    <row r="4131" hidden="1" x14ac:dyDescent="0.3"/>
    <row r="4132" hidden="1" x14ac:dyDescent="0.3"/>
    <row r="4133" hidden="1" x14ac:dyDescent="0.3"/>
    <row r="4134" hidden="1" x14ac:dyDescent="0.3"/>
    <row r="4135" hidden="1" x14ac:dyDescent="0.3"/>
    <row r="4136" hidden="1" x14ac:dyDescent="0.3"/>
    <row r="4137" hidden="1" x14ac:dyDescent="0.3"/>
    <row r="4138" hidden="1" x14ac:dyDescent="0.3"/>
    <row r="4139" hidden="1" x14ac:dyDescent="0.3"/>
    <row r="4140" hidden="1" x14ac:dyDescent="0.3"/>
    <row r="4141" hidden="1" x14ac:dyDescent="0.3"/>
    <row r="4142" hidden="1" x14ac:dyDescent="0.3"/>
    <row r="4143" hidden="1" x14ac:dyDescent="0.3"/>
    <row r="4144" hidden="1" x14ac:dyDescent="0.3"/>
    <row r="4145" hidden="1" x14ac:dyDescent="0.3"/>
    <row r="4146" hidden="1" x14ac:dyDescent="0.3"/>
    <row r="4147" hidden="1" x14ac:dyDescent="0.3"/>
    <row r="4148" hidden="1" x14ac:dyDescent="0.3"/>
    <row r="4149" hidden="1" x14ac:dyDescent="0.3"/>
    <row r="4150" hidden="1" x14ac:dyDescent="0.3"/>
    <row r="4151" hidden="1" x14ac:dyDescent="0.3"/>
    <row r="4152" hidden="1" x14ac:dyDescent="0.3"/>
    <row r="4153" hidden="1" x14ac:dyDescent="0.3"/>
    <row r="4154" hidden="1" x14ac:dyDescent="0.3"/>
    <row r="4155" hidden="1" x14ac:dyDescent="0.3"/>
    <row r="4156" hidden="1" x14ac:dyDescent="0.3"/>
    <row r="4157" hidden="1" x14ac:dyDescent="0.3"/>
    <row r="4158" hidden="1" x14ac:dyDescent="0.3"/>
    <row r="4159" hidden="1" x14ac:dyDescent="0.3"/>
    <row r="4160" hidden="1" x14ac:dyDescent="0.3"/>
    <row r="4161" hidden="1" x14ac:dyDescent="0.3"/>
    <row r="4162" hidden="1" x14ac:dyDescent="0.3"/>
    <row r="4163" hidden="1" x14ac:dyDescent="0.3"/>
    <row r="4164" hidden="1" x14ac:dyDescent="0.3"/>
    <row r="4165" hidden="1" x14ac:dyDescent="0.3"/>
    <row r="4166" hidden="1" x14ac:dyDescent="0.3"/>
    <row r="4167" hidden="1" x14ac:dyDescent="0.3"/>
    <row r="4168" hidden="1" x14ac:dyDescent="0.3"/>
    <row r="4169" hidden="1" x14ac:dyDescent="0.3"/>
    <row r="4170" hidden="1" x14ac:dyDescent="0.3"/>
    <row r="4171" hidden="1" x14ac:dyDescent="0.3"/>
    <row r="4172" hidden="1" x14ac:dyDescent="0.3"/>
    <row r="4173" hidden="1" x14ac:dyDescent="0.3"/>
    <row r="4174" hidden="1" x14ac:dyDescent="0.3"/>
    <row r="4175" hidden="1" x14ac:dyDescent="0.3"/>
    <row r="4176" hidden="1" x14ac:dyDescent="0.3"/>
    <row r="4177" hidden="1" x14ac:dyDescent="0.3"/>
    <row r="4178" hidden="1" x14ac:dyDescent="0.3"/>
    <row r="4179" hidden="1" x14ac:dyDescent="0.3"/>
    <row r="4180" hidden="1" x14ac:dyDescent="0.3"/>
    <row r="4181" hidden="1" x14ac:dyDescent="0.3"/>
    <row r="4182" hidden="1" x14ac:dyDescent="0.3"/>
    <row r="4183" hidden="1" x14ac:dyDescent="0.3"/>
    <row r="4184" hidden="1" x14ac:dyDescent="0.3"/>
    <row r="4185" hidden="1" x14ac:dyDescent="0.3"/>
    <row r="4186" hidden="1" x14ac:dyDescent="0.3"/>
    <row r="4187" hidden="1" x14ac:dyDescent="0.3"/>
    <row r="4188" hidden="1" x14ac:dyDescent="0.3"/>
    <row r="4189" hidden="1" x14ac:dyDescent="0.3"/>
    <row r="4190" hidden="1" x14ac:dyDescent="0.3"/>
    <row r="4191" hidden="1" x14ac:dyDescent="0.3"/>
    <row r="4192" hidden="1" x14ac:dyDescent="0.3"/>
    <row r="4193" hidden="1" x14ac:dyDescent="0.3"/>
    <row r="4194" hidden="1" x14ac:dyDescent="0.3"/>
    <row r="4195" hidden="1" x14ac:dyDescent="0.3"/>
    <row r="4196" hidden="1" x14ac:dyDescent="0.3"/>
    <row r="4197" hidden="1" x14ac:dyDescent="0.3"/>
    <row r="4198" hidden="1" x14ac:dyDescent="0.3"/>
    <row r="4199" hidden="1" x14ac:dyDescent="0.3"/>
    <row r="4200" hidden="1" x14ac:dyDescent="0.3"/>
    <row r="4201" hidden="1" x14ac:dyDescent="0.3"/>
    <row r="4202" hidden="1" x14ac:dyDescent="0.3"/>
    <row r="4203" hidden="1" x14ac:dyDescent="0.3"/>
    <row r="4204" hidden="1" x14ac:dyDescent="0.3"/>
    <row r="4205" hidden="1" x14ac:dyDescent="0.3"/>
    <row r="4206" hidden="1" x14ac:dyDescent="0.3"/>
    <row r="4207" hidden="1" x14ac:dyDescent="0.3"/>
    <row r="4208" hidden="1" x14ac:dyDescent="0.3"/>
    <row r="4209" hidden="1" x14ac:dyDescent="0.3"/>
    <row r="4210" hidden="1" x14ac:dyDescent="0.3"/>
    <row r="4211" hidden="1" x14ac:dyDescent="0.3"/>
    <row r="4212" hidden="1" x14ac:dyDescent="0.3"/>
    <row r="4213" hidden="1" x14ac:dyDescent="0.3"/>
    <row r="4214" hidden="1" x14ac:dyDescent="0.3"/>
    <row r="4215" hidden="1" x14ac:dyDescent="0.3"/>
    <row r="4216" hidden="1" x14ac:dyDescent="0.3"/>
    <row r="4217" hidden="1" x14ac:dyDescent="0.3"/>
    <row r="4218" hidden="1" x14ac:dyDescent="0.3"/>
    <row r="4219" hidden="1" x14ac:dyDescent="0.3"/>
    <row r="4220" hidden="1" x14ac:dyDescent="0.3"/>
    <row r="4221" hidden="1" x14ac:dyDescent="0.3"/>
    <row r="4222" hidden="1" x14ac:dyDescent="0.3"/>
    <row r="4223" hidden="1" x14ac:dyDescent="0.3"/>
    <row r="4224" hidden="1" x14ac:dyDescent="0.3"/>
    <row r="4225" hidden="1" x14ac:dyDescent="0.3"/>
    <row r="4226" hidden="1" x14ac:dyDescent="0.3"/>
    <row r="4227" hidden="1" x14ac:dyDescent="0.3"/>
    <row r="4228" hidden="1" x14ac:dyDescent="0.3"/>
    <row r="4229" hidden="1" x14ac:dyDescent="0.3"/>
    <row r="4230" hidden="1" x14ac:dyDescent="0.3"/>
    <row r="4231" hidden="1" x14ac:dyDescent="0.3"/>
    <row r="4232" hidden="1" x14ac:dyDescent="0.3"/>
    <row r="4233" hidden="1" x14ac:dyDescent="0.3"/>
    <row r="4234" hidden="1" x14ac:dyDescent="0.3"/>
    <row r="4235" hidden="1" x14ac:dyDescent="0.3"/>
    <row r="4236" hidden="1" x14ac:dyDescent="0.3"/>
    <row r="4237" hidden="1" x14ac:dyDescent="0.3"/>
    <row r="4238" hidden="1" x14ac:dyDescent="0.3"/>
    <row r="4239" hidden="1" x14ac:dyDescent="0.3"/>
    <row r="4240" hidden="1" x14ac:dyDescent="0.3"/>
    <row r="4241" hidden="1" x14ac:dyDescent="0.3"/>
    <row r="4242" hidden="1" x14ac:dyDescent="0.3"/>
    <row r="4243" hidden="1" x14ac:dyDescent="0.3"/>
    <row r="4244" hidden="1" x14ac:dyDescent="0.3"/>
    <row r="4245" hidden="1" x14ac:dyDescent="0.3"/>
    <row r="4246" hidden="1" x14ac:dyDescent="0.3"/>
    <row r="4247" hidden="1" x14ac:dyDescent="0.3"/>
    <row r="4248" hidden="1" x14ac:dyDescent="0.3"/>
    <row r="4249" hidden="1" x14ac:dyDescent="0.3"/>
    <row r="4250" hidden="1" x14ac:dyDescent="0.3"/>
    <row r="4251" hidden="1" x14ac:dyDescent="0.3"/>
    <row r="4252" hidden="1" x14ac:dyDescent="0.3"/>
    <row r="4253" hidden="1" x14ac:dyDescent="0.3"/>
    <row r="4254" hidden="1" x14ac:dyDescent="0.3"/>
    <row r="4255" hidden="1" x14ac:dyDescent="0.3"/>
    <row r="4256" hidden="1" x14ac:dyDescent="0.3"/>
    <row r="4257" hidden="1" x14ac:dyDescent="0.3"/>
    <row r="4258" hidden="1" x14ac:dyDescent="0.3"/>
    <row r="4259" hidden="1" x14ac:dyDescent="0.3"/>
    <row r="4260" hidden="1" x14ac:dyDescent="0.3"/>
    <row r="4261" hidden="1" x14ac:dyDescent="0.3"/>
    <row r="4262" hidden="1" x14ac:dyDescent="0.3"/>
    <row r="4263" hidden="1" x14ac:dyDescent="0.3"/>
    <row r="4264" hidden="1" x14ac:dyDescent="0.3"/>
    <row r="4265" hidden="1" x14ac:dyDescent="0.3"/>
    <row r="4266" hidden="1" x14ac:dyDescent="0.3"/>
    <row r="4267" hidden="1" x14ac:dyDescent="0.3"/>
    <row r="4268" hidden="1" x14ac:dyDescent="0.3"/>
    <row r="4269" hidden="1" x14ac:dyDescent="0.3"/>
    <row r="4270" hidden="1" x14ac:dyDescent="0.3"/>
    <row r="4271" hidden="1" x14ac:dyDescent="0.3"/>
    <row r="4272" hidden="1" x14ac:dyDescent="0.3"/>
    <row r="4273" hidden="1" x14ac:dyDescent="0.3"/>
    <row r="4274" hidden="1" x14ac:dyDescent="0.3"/>
    <row r="4275" hidden="1" x14ac:dyDescent="0.3"/>
    <row r="4276" hidden="1" x14ac:dyDescent="0.3"/>
    <row r="4277" hidden="1" x14ac:dyDescent="0.3"/>
    <row r="4278" hidden="1" x14ac:dyDescent="0.3"/>
    <row r="4279" hidden="1" x14ac:dyDescent="0.3"/>
    <row r="4280" hidden="1" x14ac:dyDescent="0.3"/>
    <row r="4281" hidden="1" x14ac:dyDescent="0.3"/>
    <row r="4282" hidden="1" x14ac:dyDescent="0.3"/>
    <row r="4283" hidden="1" x14ac:dyDescent="0.3"/>
    <row r="4284" hidden="1" x14ac:dyDescent="0.3"/>
    <row r="4285" hidden="1" x14ac:dyDescent="0.3"/>
    <row r="4286" hidden="1" x14ac:dyDescent="0.3"/>
    <row r="4287" hidden="1" x14ac:dyDescent="0.3"/>
    <row r="4288" hidden="1" x14ac:dyDescent="0.3"/>
    <row r="4289" hidden="1" x14ac:dyDescent="0.3"/>
    <row r="4290" hidden="1" x14ac:dyDescent="0.3"/>
    <row r="4291" hidden="1" x14ac:dyDescent="0.3"/>
    <row r="4292" hidden="1" x14ac:dyDescent="0.3"/>
    <row r="4293" hidden="1" x14ac:dyDescent="0.3"/>
    <row r="4294" hidden="1" x14ac:dyDescent="0.3"/>
    <row r="4295" hidden="1" x14ac:dyDescent="0.3"/>
    <row r="4296" hidden="1" x14ac:dyDescent="0.3"/>
    <row r="4297" hidden="1" x14ac:dyDescent="0.3"/>
    <row r="4298" hidden="1" x14ac:dyDescent="0.3"/>
    <row r="4299" hidden="1" x14ac:dyDescent="0.3"/>
    <row r="4300" hidden="1" x14ac:dyDescent="0.3"/>
    <row r="4301" hidden="1" x14ac:dyDescent="0.3"/>
    <row r="4302" hidden="1" x14ac:dyDescent="0.3"/>
    <row r="4303" hidden="1" x14ac:dyDescent="0.3"/>
    <row r="4304" hidden="1" x14ac:dyDescent="0.3"/>
    <row r="4305" hidden="1" x14ac:dyDescent="0.3"/>
    <row r="4306" hidden="1" x14ac:dyDescent="0.3"/>
    <row r="4307" hidden="1" x14ac:dyDescent="0.3"/>
    <row r="4308" hidden="1" x14ac:dyDescent="0.3"/>
    <row r="4309" hidden="1" x14ac:dyDescent="0.3"/>
    <row r="4310" hidden="1" x14ac:dyDescent="0.3"/>
    <row r="4311" hidden="1" x14ac:dyDescent="0.3"/>
    <row r="4312" hidden="1" x14ac:dyDescent="0.3"/>
    <row r="4313" hidden="1" x14ac:dyDescent="0.3"/>
    <row r="4314" hidden="1" x14ac:dyDescent="0.3"/>
    <row r="4315" hidden="1" x14ac:dyDescent="0.3"/>
    <row r="4316" hidden="1" x14ac:dyDescent="0.3"/>
    <row r="4317" hidden="1" x14ac:dyDescent="0.3"/>
    <row r="4318" hidden="1" x14ac:dyDescent="0.3"/>
    <row r="4319" hidden="1" x14ac:dyDescent="0.3"/>
    <row r="4320" hidden="1" x14ac:dyDescent="0.3"/>
    <row r="4321" hidden="1" x14ac:dyDescent="0.3"/>
    <row r="4322" hidden="1" x14ac:dyDescent="0.3"/>
    <row r="4323" hidden="1" x14ac:dyDescent="0.3"/>
    <row r="4324" hidden="1" x14ac:dyDescent="0.3"/>
    <row r="4325" hidden="1" x14ac:dyDescent="0.3"/>
    <row r="4326" hidden="1" x14ac:dyDescent="0.3"/>
    <row r="4327" hidden="1" x14ac:dyDescent="0.3"/>
    <row r="4328" hidden="1" x14ac:dyDescent="0.3"/>
    <row r="4329" hidden="1" x14ac:dyDescent="0.3"/>
    <row r="4330" hidden="1" x14ac:dyDescent="0.3"/>
    <row r="4331" hidden="1" x14ac:dyDescent="0.3"/>
    <row r="4332" hidden="1" x14ac:dyDescent="0.3"/>
    <row r="4333" hidden="1" x14ac:dyDescent="0.3"/>
    <row r="4334" hidden="1" x14ac:dyDescent="0.3"/>
    <row r="4335" hidden="1" x14ac:dyDescent="0.3"/>
    <row r="4336" hidden="1" x14ac:dyDescent="0.3"/>
    <row r="4337" hidden="1" x14ac:dyDescent="0.3"/>
    <row r="4338" hidden="1" x14ac:dyDescent="0.3"/>
    <row r="4339" hidden="1" x14ac:dyDescent="0.3"/>
    <row r="4340" hidden="1" x14ac:dyDescent="0.3"/>
    <row r="4341" hidden="1" x14ac:dyDescent="0.3"/>
    <row r="4342" hidden="1" x14ac:dyDescent="0.3"/>
    <row r="4343" hidden="1" x14ac:dyDescent="0.3"/>
    <row r="4344" hidden="1" x14ac:dyDescent="0.3"/>
    <row r="4345" hidden="1" x14ac:dyDescent="0.3"/>
    <row r="4346" hidden="1" x14ac:dyDescent="0.3"/>
    <row r="4347" hidden="1" x14ac:dyDescent="0.3"/>
    <row r="4348" hidden="1" x14ac:dyDescent="0.3"/>
    <row r="4349" hidden="1" x14ac:dyDescent="0.3"/>
    <row r="4350" hidden="1" x14ac:dyDescent="0.3"/>
    <row r="4351" hidden="1" x14ac:dyDescent="0.3"/>
    <row r="4352" hidden="1" x14ac:dyDescent="0.3"/>
    <row r="4353" hidden="1" x14ac:dyDescent="0.3"/>
    <row r="4354" hidden="1" x14ac:dyDescent="0.3"/>
    <row r="4355" hidden="1" x14ac:dyDescent="0.3"/>
    <row r="4356" hidden="1" x14ac:dyDescent="0.3"/>
    <row r="4357" hidden="1" x14ac:dyDescent="0.3"/>
    <row r="4358" hidden="1" x14ac:dyDescent="0.3"/>
    <row r="4359" hidden="1" x14ac:dyDescent="0.3"/>
    <row r="4360" hidden="1" x14ac:dyDescent="0.3"/>
    <row r="4361" hidden="1" x14ac:dyDescent="0.3"/>
    <row r="4362" hidden="1" x14ac:dyDescent="0.3"/>
    <row r="4363" hidden="1" x14ac:dyDescent="0.3"/>
    <row r="4364" hidden="1" x14ac:dyDescent="0.3"/>
    <row r="4365" hidden="1" x14ac:dyDescent="0.3"/>
    <row r="4366" hidden="1" x14ac:dyDescent="0.3"/>
    <row r="4367" hidden="1" x14ac:dyDescent="0.3"/>
    <row r="4368" hidden="1" x14ac:dyDescent="0.3"/>
    <row r="4369" hidden="1" x14ac:dyDescent="0.3"/>
    <row r="4370" hidden="1" x14ac:dyDescent="0.3"/>
    <row r="4371" hidden="1" x14ac:dyDescent="0.3"/>
    <row r="4372" hidden="1" x14ac:dyDescent="0.3"/>
    <row r="4373" hidden="1" x14ac:dyDescent="0.3"/>
    <row r="4374" hidden="1" x14ac:dyDescent="0.3"/>
    <row r="4375" hidden="1" x14ac:dyDescent="0.3"/>
    <row r="4376" hidden="1" x14ac:dyDescent="0.3"/>
    <row r="4377" hidden="1" x14ac:dyDescent="0.3"/>
    <row r="4378" hidden="1" x14ac:dyDescent="0.3"/>
    <row r="4379" hidden="1" x14ac:dyDescent="0.3"/>
    <row r="4380" hidden="1" x14ac:dyDescent="0.3"/>
    <row r="4381" hidden="1" x14ac:dyDescent="0.3"/>
    <row r="4382" hidden="1" x14ac:dyDescent="0.3"/>
    <row r="4383" hidden="1" x14ac:dyDescent="0.3"/>
    <row r="4384" hidden="1" x14ac:dyDescent="0.3"/>
    <row r="4385" hidden="1" x14ac:dyDescent="0.3"/>
    <row r="4386" hidden="1" x14ac:dyDescent="0.3"/>
    <row r="4387" hidden="1" x14ac:dyDescent="0.3"/>
    <row r="4388" hidden="1" x14ac:dyDescent="0.3"/>
    <row r="4389" hidden="1" x14ac:dyDescent="0.3"/>
    <row r="4390" hidden="1" x14ac:dyDescent="0.3"/>
    <row r="4391" hidden="1" x14ac:dyDescent="0.3"/>
    <row r="4392" hidden="1" x14ac:dyDescent="0.3"/>
    <row r="4393" hidden="1" x14ac:dyDescent="0.3"/>
    <row r="4394" hidden="1" x14ac:dyDescent="0.3"/>
    <row r="4395" hidden="1" x14ac:dyDescent="0.3"/>
    <row r="4396" hidden="1" x14ac:dyDescent="0.3"/>
    <row r="4397" hidden="1" x14ac:dyDescent="0.3"/>
    <row r="4398" hidden="1" x14ac:dyDescent="0.3"/>
    <row r="4399" hidden="1" x14ac:dyDescent="0.3"/>
    <row r="4400" hidden="1" x14ac:dyDescent="0.3"/>
    <row r="4401" hidden="1" x14ac:dyDescent="0.3"/>
    <row r="4402" hidden="1" x14ac:dyDescent="0.3"/>
    <row r="4403" hidden="1" x14ac:dyDescent="0.3"/>
    <row r="4404" hidden="1" x14ac:dyDescent="0.3"/>
    <row r="4405" hidden="1" x14ac:dyDescent="0.3"/>
    <row r="4406" hidden="1" x14ac:dyDescent="0.3"/>
    <row r="4407" hidden="1" x14ac:dyDescent="0.3"/>
    <row r="4408" hidden="1" x14ac:dyDescent="0.3"/>
    <row r="4409" hidden="1" x14ac:dyDescent="0.3"/>
    <row r="4410" hidden="1" x14ac:dyDescent="0.3"/>
    <row r="4411" hidden="1" x14ac:dyDescent="0.3"/>
    <row r="4412" hidden="1" x14ac:dyDescent="0.3"/>
    <row r="4413" hidden="1" x14ac:dyDescent="0.3"/>
    <row r="4414" hidden="1" x14ac:dyDescent="0.3"/>
    <row r="4415" hidden="1" x14ac:dyDescent="0.3"/>
    <row r="4416" hidden="1" x14ac:dyDescent="0.3"/>
    <row r="4417" hidden="1" x14ac:dyDescent="0.3"/>
    <row r="4418" hidden="1" x14ac:dyDescent="0.3"/>
    <row r="4419" hidden="1" x14ac:dyDescent="0.3"/>
    <row r="4420" hidden="1" x14ac:dyDescent="0.3"/>
    <row r="4421" hidden="1" x14ac:dyDescent="0.3"/>
    <row r="4422" hidden="1" x14ac:dyDescent="0.3"/>
    <row r="4423" hidden="1" x14ac:dyDescent="0.3"/>
    <row r="4424" hidden="1" x14ac:dyDescent="0.3"/>
    <row r="4425" hidden="1" x14ac:dyDescent="0.3"/>
    <row r="4426" hidden="1" x14ac:dyDescent="0.3"/>
    <row r="4427" hidden="1" x14ac:dyDescent="0.3"/>
    <row r="4428" hidden="1" x14ac:dyDescent="0.3"/>
    <row r="4429" hidden="1" x14ac:dyDescent="0.3"/>
    <row r="4430" hidden="1" x14ac:dyDescent="0.3"/>
    <row r="4431" hidden="1" x14ac:dyDescent="0.3"/>
    <row r="4432" hidden="1" x14ac:dyDescent="0.3"/>
    <row r="4433" hidden="1" x14ac:dyDescent="0.3"/>
    <row r="4434" hidden="1" x14ac:dyDescent="0.3"/>
    <row r="4435" hidden="1" x14ac:dyDescent="0.3"/>
    <row r="4436" hidden="1" x14ac:dyDescent="0.3"/>
    <row r="4437" hidden="1" x14ac:dyDescent="0.3"/>
    <row r="4438" hidden="1" x14ac:dyDescent="0.3"/>
    <row r="4439" hidden="1" x14ac:dyDescent="0.3"/>
    <row r="4440" hidden="1" x14ac:dyDescent="0.3"/>
    <row r="4441" hidden="1" x14ac:dyDescent="0.3"/>
    <row r="4442" hidden="1" x14ac:dyDescent="0.3"/>
    <row r="4443" hidden="1" x14ac:dyDescent="0.3"/>
    <row r="4444" hidden="1" x14ac:dyDescent="0.3"/>
    <row r="4445" hidden="1" x14ac:dyDescent="0.3"/>
    <row r="4446" hidden="1" x14ac:dyDescent="0.3"/>
    <row r="4447" hidden="1" x14ac:dyDescent="0.3"/>
    <row r="4448" hidden="1" x14ac:dyDescent="0.3"/>
    <row r="4449" hidden="1" x14ac:dyDescent="0.3"/>
    <row r="4450" hidden="1" x14ac:dyDescent="0.3"/>
    <row r="4451" hidden="1" x14ac:dyDescent="0.3"/>
    <row r="4452" hidden="1" x14ac:dyDescent="0.3"/>
    <row r="4453" hidden="1" x14ac:dyDescent="0.3"/>
    <row r="4454" hidden="1" x14ac:dyDescent="0.3"/>
    <row r="4455" hidden="1" x14ac:dyDescent="0.3"/>
    <row r="4456" hidden="1" x14ac:dyDescent="0.3"/>
    <row r="4457" hidden="1" x14ac:dyDescent="0.3"/>
    <row r="4458" hidden="1" x14ac:dyDescent="0.3"/>
    <row r="4459" hidden="1" x14ac:dyDescent="0.3"/>
    <row r="4460" hidden="1" x14ac:dyDescent="0.3"/>
    <row r="4461" hidden="1" x14ac:dyDescent="0.3"/>
    <row r="4462" hidden="1" x14ac:dyDescent="0.3"/>
    <row r="4463" hidden="1" x14ac:dyDescent="0.3"/>
    <row r="4464" hidden="1" x14ac:dyDescent="0.3"/>
    <row r="4465" hidden="1" x14ac:dyDescent="0.3"/>
    <row r="4466" hidden="1" x14ac:dyDescent="0.3"/>
    <row r="4467" hidden="1" x14ac:dyDescent="0.3"/>
    <row r="4468" hidden="1" x14ac:dyDescent="0.3"/>
    <row r="4469" hidden="1" x14ac:dyDescent="0.3"/>
    <row r="4470" hidden="1" x14ac:dyDescent="0.3"/>
    <row r="4471" hidden="1" x14ac:dyDescent="0.3"/>
    <row r="4472" hidden="1" x14ac:dyDescent="0.3"/>
    <row r="4473" hidden="1" x14ac:dyDescent="0.3"/>
    <row r="4474" hidden="1" x14ac:dyDescent="0.3"/>
    <row r="4475" hidden="1" x14ac:dyDescent="0.3"/>
    <row r="4476" hidden="1" x14ac:dyDescent="0.3"/>
    <row r="4477" hidden="1" x14ac:dyDescent="0.3"/>
    <row r="4478" hidden="1" x14ac:dyDescent="0.3"/>
    <row r="4479" hidden="1" x14ac:dyDescent="0.3"/>
    <row r="4480" hidden="1" x14ac:dyDescent="0.3"/>
    <row r="4481" hidden="1" x14ac:dyDescent="0.3"/>
    <row r="4482" hidden="1" x14ac:dyDescent="0.3"/>
    <row r="4483" hidden="1" x14ac:dyDescent="0.3"/>
    <row r="4484" hidden="1" x14ac:dyDescent="0.3"/>
    <row r="4485" hidden="1" x14ac:dyDescent="0.3"/>
    <row r="4486" hidden="1" x14ac:dyDescent="0.3"/>
    <row r="4487" hidden="1" x14ac:dyDescent="0.3"/>
    <row r="4488" hidden="1" x14ac:dyDescent="0.3"/>
    <row r="4489" hidden="1" x14ac:dyDescent="0.3"/>
    <row r="4490" hidden="1" x14ac:dyDescent="0.3"/>
    <row r="4491" hidden="1" x14ac:dyDescent="0.3"/>
    <row r="4492" hidden="1" x14ac:dyDescent="0.3"/>
    <row r="4493" hidden="1" x14ac:dyDescent="0.3"/>
    <row r="4494" hidden="1" x14ac:dyDescent="0.3"/>
    <row r="4495" hidden="1" x14ac:dyDescent="0.3"/>
    <row r="4496" hidden="1" x14ac:dyDescent="0.3"/>
    <row r="4497" hidden="1" x14ac:dyDescent="0.3"/>
    <row r="4498" hidden="1" x14ac:dyDescent="0.3"/>
    <row r="4499" hidden="1" x14ac:dyDescent="0.3"/>
    <row r="4500" hidden="1" x14ac:dyDescent="0.3"/>
    <row r="4501" hidden="1" x14ac:dyDescent="0.3"/>
    <row r="4502" hidden="1" x14ac:dyDescent="0.3"/>
    <row r="4503" hidden="1" x14ac:dyDescent="0.3"/>
    <row r="4504" hidden="1" x14ac:dyDescent="0.3"/>
    <row r="4505" hidden="1" x14ac:dyDescent="0.3"/>
    <row r="4506" hidden="1" x14ac:dyDescent="0.3"/>
    <row r="4507" hidden="1" x14ac:dyDescent="0.3"/>
    <row r="4508" hidden="1" x14ac:dyDescent="0.3"/>
    <row r="4509" hidden="1" x14ac:dyDescent="0.3"/>
    <row r="4510" hidden="1" x14ac:dyDescent="0.3"/>
    <row r="4511" hidden="1" x14ac:dyDescent="0.3"/>
    <row r="4512" hidden="1" x14ac:dyDescent="0.3"/>
    <row r="4513" hidden="1" x14ac:dyDescent="0.3"/>
    <row r="4514" hidden="1" x14ac:dyDescent="0.3"/>
    <row r="4515" hidden="1" x14ac:dyDescent="0.3"/>
    <row r="4516" hidden="1" x14ac:dyDescent="0.3"/>
    <row r="4517" hidden="1" x14ac:dyDescent="0.3"/>
    <row r="4518" hidden="1" x14ac:dyDescent="0.3"/>
    <row r="4519" hidden="1" x14ac:dyDescent="0.3"/>
    <row r="4520" hidden="1" x14ac:dyDescent="0.3"/>
    <row r="4521" hidden="1" x14ac:dyDescent="0.3"/>
    <row r="4522" hidden="1" x14ac:dyDescent="0.3"/>
    <row r="4523" hidden="1" x14ac:dyDescent="0.3"/>
    <row r="4524" hidden="1" x14ac:dyDescent="0.3"/>
    <row r="4525" hidden="1" x14ac:dyDescent="0.3"/>
    <row r="4526" hidden="1" x14ac:dyDescent="0.3"/>
    <row r="4527" hidden="1" x14ac:dyDescent="0.3"/>
    <row r="4528" hidden="1" x14ac:dyDescent="0.3"/>
    <row r="4529" hidden="1" x14ac:dyDescent="0.3"/>
    <row r="4530" hidden="1" x14ac:dyDescent="0.3"/>
    <row r="4531" hidden="1" x14ac:dyDescent="0.3"/>
    <row r="4532" hidden="1" x14ac:dyDescent="0.3"/>
    <row r="4533" hidden="1" x14ac:dyDescent="0.3"/>
    <row r="4534" hidden="1" x14ac:dyDescent="0.3"/>
    <row r="4535" hidden="1" x14ac:dyDescent="0.3"/>
    <row r="4536" hidden="1" x14ac:dyDescent="0.3"/>
    <row r="4537" hidden="1" x14ac:dyDescent="0.3"/>
    <row r="4538" hidden="1" x14ac:dyDescent="0.3"/>
    <row r="4539" hidden="1" x14ac:dyDescent="0.3"/>
    <row r="4540" hidden="1" x14ac:dyDescent="0.3"/>
    <row r="4541" hidden="1" x14ac:dyDescent="0.3"/>
    <row r="4542" hidden="1" x14ac:dyDescent="0.3"/>
    <row r="4543" hidden="1" x14ac:dyDescent="0.3"/>
    <row r="4544" hidden="1" x14ac:dyDescent="0.3"/>
    <row r="4545" hidden="1" x14ac:dyDescent="0.3"/>
    <row r="4546" hidden="1" x14ac:dyDescent="0.3"/>
    <row r="4547" hidden="1" x14ac:dyDescent="0.3"/>
    <row r="4548" hidden="1" x14ac:dyDescent="0.3"/>
    <row r="4549" hidden="1" x14ac:dyDescent="0.3"/>
    <row r="4550" hidden="1" x14ac:dyDescent="0.3"/>
    <row r="4551" hidden="1" x14ac:dyDescent="0.3"/>
    <row r="4552" hidden="1" x14ac:dyDescent="0.3"/>
    <row r="4553" hidden="1" x14ac:dyDescent="0.3"/>
    <row r="4554" hidden="1" x14ac:dyDescent="0.3"/>
    <row r="4555" hidden="1" x14ac:dyDescent="0.3"/>
    <row r="4556" hidden="1" x14ac:dyDescent="0.3"/>
    <row r="4557" hidden="1" x14ac:dyDescent="0.3"/>
    <row r="4558" hidden="1" x14ac:dyDescent="0.3"/>
    <row r="4559" hidden="1" x14ac:dyDescent="0.3"/>
    <row r="4560" hidden="1" x14ac:dyDescent="0.3"/>
    <row r="4561" hidden="1" x14ac:dyDescent="0.3"/>
    <row r="4562" hidden="1" x14ac:dyDescent="0.3"/>
    <row r="4563" hidden="1" x14ac:dyDescent="0.3"/>
    <row r="4564" hidden="1" x14ac:dyDescent="0.3"/>
    <row r="4565" hidden="1" x14ac:dyDescent="0.3"/>
    <row r="4566" hidden="1" x14ac:dyDescent="0.3"/>
    <row r="4567" hidden="1" x14ac:dyDescent="0.3"/>
    <row r="4568" hidden="1" x14ac:dyDescent="0.3"/>
    <row r="4569" hidden="1" x14ac:dyDescent="0.3"/>
    <row r="4570" hidden="1" x14ac:dyDescent="0.3"/>
    <row r="4571" hidden="1" x14ac:dyDescent="0.3"/>
    <row r="4572" hidden="1" x14ac:dyDescent="0.3"/>
    <row r="4573" hidden="1" x14ac:dyDescent="0.3"/>
    <row r="4574" hidden="1" x14ac:dyDescent="0.3"/>
    <row r="4575" hidden="1" x14ac:dyDescent="0.3"/>
    <row r="4576" hidden="1" x14ac:dyDescent="0.3"/>
    <row r="4577" hidden="1" x14ac:dyDescent="0.3"/>
    <row r="4578" hidden="1" x14ac:dyDescent="0.3"/>
    <row r="4579" hidden="1" x14ac:dyDescent="0.3"/>
    <row r="4580" hidden="1" x14ac:dyDescent="0.3"/>
    <row r="4581" hidden="1" x14ac:dyDescent="0.3"/>
    <row r="4582" hidden="1" x14ac:dyDescent="0.3"/>
    <row r="4583" hidden="1" x14ac:dyDescent="0.3"/>
    <row r="4584" hidden="1" x14ac:dyDescent="0.3"/>
    <row r="4585" hidden="1" x14ac:dyDescent="0.3"/>
    <row r="4586" hidden="1" x14ac:dyDescent="0.3"/>
    <row r="4587" hidden="1" x14ac:dyDescent="0.3"/>
    <row r="4588" hidden="1" x14ac:dyDescent="0.3"/>
    <row r="4589" hidden="1" x14ac:dyDescent="0.3"/>
    <row r="4590" hidden="1" x14ac:dyDescent="0.3"/>
    <row r="4591" hidden="1" x14ac:dyDescent="0.3"/>
    <row r="4592" hidden="1" x14ac:dyDescent="0.3"/>
    <row r="4593" hidden="1" x14ac:dyDescent="0.3"/>
    <row r="4594" hidden="1" x14ac:dyDescent="0.3"/>
    <row r="4595" hidden="1" x14ac:dyDescent="0.3"/>
    <row r="4596" hidden="1" x14ac:dyDescent="0.3"/>
    <row r="4597" hidden="1" x14ac:dyDescent="0.3"/>
    <row r="4598" hidden="1" x14ac:dyDescent="0.3"/>
    <row r="4599" hidden="1" x14ac:dyDescent="0.3"/>
    <row r="4600" hidden="1" x14ac:dyDescent="0.3"/>
    <row r="4601" hidden="1" x14ac:dyDescent="0.3"/>
    <row r="4602" hidden="1" x14ac:dyDescent="0.3"/>
    <row r="4603" hidden="1" x14ac:dyDescent="0.3"/>
    <row r="4604" hidden="1" x14ac:dyDescent="0.3"/>
    <row r="4605" hidden="1" x14ac:dyDescent="0.3"/>
    <row r="4606" hidden="1" x14ac:dyDescent="0.3"/>
    <row r="4607" hidden="1" x14ac:dyDescent="0.3"/>
    <row r="4608" hidden="1" x14ac:dyDescent="0.3"/>
    <row r="4609" hidden="1" x14ac:dyDescent="0.3"/>
    <row r="4610" hidden="1" x14ac:dyDescent="0.3"/>
    <row r="4611" hidden="1" x14ac:dyDescent="0.3"/>
    <row r="4612" hidden="1" x14ac:dyDescent="0.3"/>
    <row r="4613" hidden="1" x14ac:dyDescent="0.3"/>
    <row r="4614" hidden="1" x14ac:dyDescent="0.3"/>
    <row r="4615" hidden="1" x14ac:dyDescent="0.3"/>
    <row r="4616" hidden="1" x14ac:dyDescent="0.3"/>
    <row r="4617" hidden="1" x14ac:dyDescent="0.3"/>
    <row r="4618" hidden="1" x14ac:dyDescent="0.3"/>
    <row r="4619" hidden="1" x14ac:dyDescent="0.3"/>
    <row r="4620" hidden="1" x14ac:dyDescent="0.3"/>
    <row r="4621" hidden="1" x14ac:dyDescent="0.3"/>
    <row r="4622" hidden="1" x14ac:dyDescent="0.3"/>
    <row r="4623" hidden="1" x14ac:dyDescent="0.3"/>
    <row r="4624" hidden="1" x14ac:dyDescent="0.3"/>
    <row r="4625" hidden="1" x14ac:dyDescent="0.3"/>
    <row r="4626" hidden="1" x14ac:dyDescent="0.3"/>
    <row r="4627" hidden="1" x14ac:dyDescent="0.3"/>
    <row r="4628" hidden="1" x14ac:dyDescent="0.3"/>
    <row r="4629" hidden="1" x14ac:dyDescent="0.3"/>
    <row r="4630" hidden="1" x14ac:dyDescent="0.3"/>
    <row r="4631" hidden="1" x14ac:dyDescent="0.3"/>
    <row r="4632" hidden="1" x14ac:dyDescent="0.3"/>
    <row r="4633" hidden="1" x14ac:dyDescent="0.3"/>
    <row r="4634" hidden="1" x14ac:dyDescent="0.3"/>
    <row r="4635" hidden="1" x14ac:dyDescent="0.3"/>
    <row r="4636" hidden="1" x14ac:dyDescent="0.3"/>
    <row r="4637" hidden="1" x14ac:dyDescent="0.3"/>
    <row r="4638" hidden="1" x14ac:dyDescent="0.3"/>
    <row r="4639" hidden="1" x14ac:dyDescent="0.3"/>
    <row r="4640" hidden="1" x14ac:dyDescent="0.3"/>
    <row r="4641" hidden="1" x14ac:dyDescent="0.3"/>
    <row r="4642" hidden="1" x14ac:dyDescent="0.3"/>
    <row r="4643" hidden="1" x14ac:dyDescent="0.3"/>
    <row r="4644" hidden="1" x14ac:dyDescent="0.3"/>
    <row r="4645" hidden="1" x14ac:dyDescent="0.3"/>
    <row r="4646" hidden="1" x14ac:dyDescent="0.3"/>
    <row r="4647" hidden="1" x14ac:dyDescent="0.3"/>
    <row r="4648" hidden="1" x14ac:dyDescent="0.3"/>
    <row r="4649" hidden="1" x14ac:dyDescent="0.3"/>
    <row r="4650" hidden="1" x14ac:dyDescent="0.3"/>
    <row r="4651" hidden="1" x14ac:dyDescent="0.3"/>
    <row r="4652" hidden="1" x14ac:dyDescent="0.3"/>
    <row r="4653" hidden="1" x14ac:dyDescent="0.3"/>
    <row r="4654" hidden="1" x14ac:dyDescent="0.3"/>
    <row r="4655" hidden="1" x14ac:dyDescent="0.3"/>
    <row r="4656" hidden="1" x14ac:dyDescent="0.3"/>
    <row r="4657" hidden="1" x14ac:dyDescent="0.3"/>
    <row r="4658" hidden="1" x14ac:dyDescent="0.3"/>
    <row r="4659" hidden="1" x14ac:dyDescent="0.3"/>
    <row r="4660" hidden="1" x14ac:dyDescent="0.3"/>
    <row r="4661" hidden="1" x14ac:dyDescent="0.3"/>
    <row r="4662" hidden="1" x14ac:dyDescent="0.3"/>
    <row r="4663" hidden="1" x14ac:dyDescent="0.3"/>
    <row r="4664" hidden="1" x14ac:dyDescent="0.3"/>
    <row r="4665" hidden="1" x14ac:dyDescent="0.3"/>
    <row r="4666" hidden="1" x14ac:dyDescent="0.3"/>
    <row r="4667" hidden="1" x14ac:dyDescent="0.3"/>
    <row r="4668" hidden="1" x14ac:dyDescent="0.3"/>
    <row r="4669" hidden="1" x14ac:dyDescent="0.3"/>
    <row r="4670" hidden="1" x14ac:dyDescent="0.3"/>
    <row r="4671" hidden="1" x14ac:dyDescent="0.3"/>
    <row r="4672" hidden="1" x14ac:dyDescent="0.3"/>
    <row r="4673" hidden="1" x14ac:dyDescent="0.3"/>
    <row r="4674" hidden="1" x14ac:dyDescent="0.3"/>
    <row r="4675" hidden="1" x14ac:dyDescent="0.3"/>
    <row r="4676" hidden="1" x14ac:dyDescent="0.3"/>
    <row r="4677" hidden="1" x14ac:dyDescent="0.3"/>
    <row r="4678" hidden="1" x14ac:dyDescent="0.3"/>
    <row r="4679" hidden="1" x14ac:dyDescent="0.3"/>
    <row r="4680" hidden="1" x14ac:dyDescent="0.3"/>
    <row r="4681" hidden="1" x14ac:dyDescent="0.3"/>
    <row r="4682" hidden="1" x14ac:dyDescent="0.3"/>
    <row r="4683" hidden="1" x14ac:dyDescent="0.3"/>
    <row r="4684" hidden="1" x14ac:dyDescent="0.3"/>
    <row r="4685" hidden="1" x14ac:dyDescent="0.3"/>
    <row r="4686" hidden="1" x14ac:dyDescent="0.3"/>
    <row r="4687" hidden="1" x14ac:dyDescent="0.3"/>
    <row r="4688" hidden="1" x14ac:dyDescent="0.3"/>
    <row r="4689" hidden="1" x14ac:dyDescent="0.3"/>
    <row r="4690" hidden="1" x14ac:dyDescent="0.3"/>
    <row r="4691" hidden="1" x14ac:dyDescent="0.3"/>
    <row r="4692" hidden="1" x14ac:dyDescent="0.3"/>
    <row r="4693" hidden="1" x14ac:dyDescent="0.3"/>
    <row r="4694" hidden="1" x14ac:dyDescent="0.3"/>
    <row r="4695" hidden="1" x14ac:dyDescent="0.3"/>
    <row r="4696" hidden="1" x14ac:dyDescent="0.3"/>
    <row r="4697" hidden="1" x14ac:dyDescent="0.3"/>
    <row r="4698" hidden="1" x14ac:dyDescent="0.3"/>
    <row r="4699" hidden="1" x14ac:dyDescent="0.3"/>
    <row r="4700" hidden="1" x14ac:dyDescent="0.3"/>
    <row r="4701" hidden="1" x14ac:dyDescent="0.3"/>
    <row r="4702" hidden="1" x14ac:dyDescent="0.3"/>
    <row r="4703" hidden="1" x14ac:dyDescent="0.3"/>
    <row r="4704" hidden="1" x14ac:dyDescent="0.3"/>
    <row r="4705" hidden="1" x14ac:dyDescent="0.3"/>
    <row r="4706" hidden="1" x14ac:dyDescent="0.3"/>
    <row r="4707" hidden="1" x14ac:dyDescent="0.3"/>
    <row r="4708" hidden="1" x14ac:dyDescent="0.3"/>
    <row r="4709" hidden="1" x14ac:dyDescent="0.3"/>
    <row r="4710" hidden="1" x14ac:dyDescent="0.3"/>
    <row r="4711" hidden="1" x14ac:dyDescent="0.3"/>
    <row r="4712" hidden="1" x14ac:dyDescent="0.3"/>
    <row r="4713" hidden="1" x14ac:dyDescent="0.3"/>
    <row r="4714" hidden="1" x14ac:dyDescent="0.3"/>
    <row r="4715" hidden="1" x14ac:dyDescent="0.3"/>
    <row r="4716" hidden="1" x14ac:dyDescent="0.3"/>
    <row r="4717" hidden="1" x14ac:dyDescent="0.3"/>
    <row r="4718" hidden="1" x14ac:dyDescent="0.3"/>
    <row r="4719" hidden="1" x14ac:dyDescent="0.3"/>
    <row r="4720" hidden="1" x14ac:dyDescent="0.3"/>
    <row r="4721" hidden="1" x14ac:dyDescent="0.3"/>
    <row r="4722" hidden="1" x14ac:dyDescent="0.3"/>
    <row r="4723" hidden="1" x14ac:dyDescent="0.3"/>
    <row r="4724" hidden="1" x14ac:dyDescent="0.3"/>
    <row r="4725" hidden="1" x14ac:dyDescent="0.3"/>
    <row r="4726" hidden="1" x14ac:dyDescent="0.3"/>
    <row r="4727" hidden="1" x14ac:dyDescent="0.3"/>
    <row r="4728" hidden="1" x14ac:dyDescent="0.3"/>
    <row r="4729" hidden="1" x14ac:dyDescent="0.3"/>
    <row r="4730" hidden="1" x14ac:dyDescent="0.3"/>
    <row r="4731" hidden="1" x14ac:dyDescent="0.3"/>
    <row r="4732" hidden="1" x14ac:dyDescent="0.3"/>
    <row r="4733" hidden="1" x14ac:dyDescent="0.3"/>
    <row r="4734" hidden="1" x14ac:dyDescent="0.3"/>
    <row r="4735" hidden="1" x14ac:dyDescent="0.3"/>
    <row r="4736" hidden="1" x14ac:dyDescent="0.3"/>
    <row r="4737" hidden="1" x14ac:dyDescent="0.3"/>
    <row r="4738" hidden="1" x14ac:dyDescent="0.3"/>
    <row r="4739" hidden="1" x14ac:dyDescent="0.3"/>
    <row r="4740" hidden="1" x14ac:dyDescent="0.3"/>
    <row r="4741" hidden="1" x14ac:dyDescent="0.3"/>
    <row r="4742" hidden="1" x14ac:dyDescent="0.3"/>
    <row r="4743" hidden="1" x14ac:dyDescent="0.3"/>
    <row r="4744" hidden="1" x14ac:dyDescent="0.3"/>
    <row r="4745" hidden="1" x14ac:dyDescent="0.3"/>
    <row r="4746" hidden="1" x14ac:dyDescent="0.3"/>
    <row r="4747" hidden="1" x14ac:dyDescent="0.3"/>
    <row r="4748" hidden="1" x14ac:dyDescent="0.3"/>
    <row r="4749" hidden="1" x14ac:dyDescent="0.3"/>
    <row r="4750" hidden="1" x14ac:dyDescent="0.3"/>
    <row r="4751" hidden="1" x14ac:dyDescent="0.3"/>
    <row r="4752" hidden="1" x14ac:dyDescent="0.3"/>
    <row r="4753" hidden="1" x14ac:dyDescent="0.3"/>
    <row r="4754" hidden="1" x14ac:dyDescent="0.3"/>
    <row r="4755" hidden="1" x14ac:dyDescent="0.3"/>
    <row r="4756" hidden="1" x14ac:dyDescent="0.3"/>
    <row r="4757" hidden="1" x14ac:dyDescent="0.3"/>
    <row r="4758" hidden="1" x14ac:dyDescent="0.3"/>
    <row r="4759" hidden="1" x14ac:dyDescent="0.3"/>
    <row r="4760" hidden="1" x14ac:dyDescent="0.3"/>
    <row r="4761" hidden="1" x14ac:dyDescent="0.3"/>
    <row r="4762" hidden="1" x14ac:dyDescent="0.3"/>
    <row r="4763" hidden="1" x14ac:dyDescent="0.3"/>
    <row r="4764" hidden="1" x14ac:dyDescent="0.3"/>
    <row r="4765" hidden="1" x14ac:dyDescent="0.3"/>
    <row r="4766" hidden="1" x14ac:dyDescent="0.3"/>
    <row r="4767" hidden="1" x14ac:dyDescent="0.3"/>
    <row r="4768" hidden="1" x14ac:dyDescent="0.3"/>
    <row r="4769" hidden="1" x14ac:dyDescent="0.3"/>
    <row r="4770" hidden="1" x14ac:dyDescent="0.3"/>
    <row r="4771" hidden="1" x14ac:dyDescent="0.3"/>
    <row r="4772" hidden="1" x14ac:dyDescent="0.3"/>
    <row r="4773" hidden="1" x14ac:dyDescent="0.3"/>
    <row r="4774" hidden="1" x14ac:dyDescent="0.3"/>
    <row r="4775" hidden="1" x14ac:dyDescent="0.3"/>
    <row r="4776" hidden="1" x14ac:dyDescent="0.3"/>
    <row r="4777" hidden="1" x14ac:dyDescent="0.3"/>
    <row r="4778" hidden="1" x14ac:dyDescent="0.3"/>
    <row r="4779" hidden="1" x14ac:dyDescent="0.3"/>
    <row r="4780" hidden="1" x14ac:dyDescent="0.3"/>
    <row r="4781" hidden="1" x14ac:dyDescent="0.3"/>
    <row r="4782" hidden="1" x14ac:dyDescent="0.3"/>
    <row r="4783" hidden="1" x14ac:dyDescent="0.3"/>
    <row r="4784" hidden="1" x14ac:dyDescent="0.3"/>
    <row r="4785" hidden="1" x14ac:dyDescent="0.3"/>
    <row r="4786" hidden="1" x14ac:dyDescent="0.3"/>
    <row r="4787" hidden="1" x14ac:dyDescent="0.3"/>
    <row r="4788" hidden="1" x14ac:dyDescent="0.3"/>
    <row r="4789" hidden="1" x14ac:dyDescent="0.3"/>
    <row r="4790" hidden="1" x14ac:dyDescent="0.3"/>
    <row r="4791" hidden="1" x14ac:dyDescent="0.3"/>
    <row r="4792" hidden="1" x14ac:dyDescent="0.3"/>
    <row r="4793" hidden="1" x14ac:dyDescent="0.3"/>
    <row r="4794" hidden="1" x14ac:dyDescent="0.3"/>
    <row r="4795" hidden="1" x14ac:dyDescent="0.3"/>
    <row r="4796" hidden="1" x14ac:dyDescent="0.3"/>
    <row r="4797" hidden="1" x14ac:dyDescent="0.3"/>
    <row r="4798" hidden="1" x14ac:dyDescent="0.3"/>
    <row r="4799" hidden="1" x14ac:dyDescent="0.3"/>
    <row r="4800" hidden="1" x14ac:dyDescent="0.3"/>
    <row r="4801" hidden="1" x14ac:dyDescent="0.3"/>
    <row r="4802" hidden="1" x14ac:dyDescent="0.3"/>
    <row r="4803" hidden="1" x14ac:dyDescent="0.3"/>
    <row r="4804" hidden="1" x14ac:dyDescent="0.3"/>
    <row r="4805" hidden="1" x14ac:dyDescent="0.3"/>
    <row r="4806" hidden="1" x14ac:dyDescent="0.3"/>
    <row r="4807" hidden="1" x14ac:dyDescent="0.3"/>
    <row r="4808" hidden="1" x14ac:dyDescent="0.3"/>
    <row r="4809" hidden="1" x14ac:dyDescent="0.3"/>
    <row r="4810" hidden="1" x14ac:dyDescent="0.3"/>
    <row r="4811" hidden="1" x14ac:dyDescent="0.3"/>
    <row r="4812" hidden="1" x14ac:dyDescent="0.3"/>
    <row r="4813" hidden="1" x14ac:dyDescent="0.3"/>
    <row r="4814" hidden="1" x14ac:dyDescent="0.3"/>
    <row r="4815" hidden="1" x14ac:dyDescent="0.3"/>
    <row r="4816" hidden="1" x14ac:dyDescent="0.3"/>
    <row r="4817" hidden="1" x14ac:dyDescent="0.3"/>
    <row r="4818" hidden="1" x14ac:dyDescent="0.3"/>
    <row r="4819" hidden="1" x14ac:dyDescent="0.3"/>
    <row r="4820" hidden="1" x14ac:dyDescent="0.3"/>
    <row r="4821" hidden="1" x14ac:dyDescent="0.3"/>
    <row r="4822" hidden="1" x14ac:dyDescent="0.3"/>
    <row r="4823" hidden="1" x14ac:dyDescent="0.3"/>
    <row r="4824" hidden="1" x14ac:dyDescent="0.3"/>
    <row r="4825" hidden="1" x14ac:dyDescent="0.3"/>
    <row r="4826" hidden="1" x14ac:dyDescent="0.3"/>
    <row r="4827" hidden="1" x14ac:dyDescent="0.3"/>
    <row r="4828" hidden="1" x14ac:dyDescent="0.3"/>
    <row r="4829" hidden="1" x14ac:dyDescent="0.3"/>
    <row r="4830" hidden="1" x14ac:dyDescent="0.3"/>
    <row r="4831" hidden="1" x14ac:dyDescent="0.3"/>
    <row r="4832" hidden="1" x14ac:dyDescent="0.3"/>
    <row r="4833" hidden="1" x14ac:dyDescent="0.3"/>
    <row r="4834" hidden="1" x14ac:dyDescent="0.3"/>
    <row r="4835" hidden="1" x14ac:dyDescent="0.3"/>
    <row r="4836" hidden="1" x14ac:dyDescent="0.3"/>
    <row r="4837" hidden="1" x14ac:dyDescent="0.3"/>
    <row r="4838" hidden="1" x14ac:dyDescent="0.3"/>
    <row r="4839" hidden="1" x14ac:dyDescent="0.3"/>
    <row r="4840" hidden="1" x14ac:dyDescent="0.3"/>
    <row r="4841" hidden="1" x14ac:dyDescent="0.3"/>
    <row r="4842" hidden="1" x14ac:dyDescent="0.3"/>
    <row r="4843" hidden="1" x14ac:dyDescent="0.3"/>
    <row r="4844" hidden="1" x14ac:dyDescent="0.3"/>
    <row r="4845" hidden="1" x14ac:dyDescent="0.3"/>
    <row r="4846" hidden="1" x14ac:dyDescent="0.3"/>
    <row r="4847" hidden="1" x14ac:dyDescent="0.3"/>
    <row r="4848" hidden="1" x14ac:dyDescent="0.3"/>
    <row r="4849" hidden="1" x14ac:dyDescent="0.3"/>
    <row r="4850" hidden="1" x14ac:dyDescent="0.3"/>
    <row r="4851" hidden="1" x14ac:dyDescent="0.3"/>
    <row r="4852" hidden="1" x14ac:dyDescent="0.3"/>
    <row r="4853" hidden="1" x14ac:dyDescent="0.3"/>
    <row r="4854" hidden="1" x14ac:dyDescent="0.3"/>
    <row r="4855" hidden="1" x14ac:dyDescent="0.3"/>
    <row r="4856" hidden="1" x14ac:dyDescent="0.3"/>
    <row r="4857" hidden="1" x14ac:dyDescent="0.3"/>
    <row r="4858" hidden="1" x14ac:dyDescent="0.3"/>
    <row r="4859" hidden="1" x14ac:dyDescent="0.3"/>
    <row r="4860" hidden="1" x14ac:dyDescent="0.3"/>
    <row r="4861" hidden="1" x14ac:dyDescent="0.3"/>
    <row r="4862" hidden="1" x14ac:dyDescent="0.3"/>
    <row r="4863" hidden="1" x14ac:dyDescent="0.3"/>
    <row r="4864" hidden="1" x14ac:dyDescent="0.3"/>
    <row r="4865" hidden="1" x14ac:dyDescent="0.3"/>
    <row r="4866" hidden="1" x14ac:dyDescent="0.3"/>
    <row r="4867" hidden="1" x14ac:dyDescent="0.3"/>
    <row r="4868" hidden="1" x14ac:dyDescent="0.3"/>
    <row r="4869" hidden="1" x14ac:dyDescent="0.3"/>
    <row r="4870" hidden="1" x14ac:dyDescent="0.3"/>
    <row r="4871" hidden="1" x14ac:dyDescent="0.3"/>
    <row r="4872" hidden="1" x14ac:dyDescent="0.3"/>
    <row r="4873" hidden="1" x14ac:dyDescent="0.3"/>
    <row r="4874" hidden="1" x14ac:dyDescent="0.3"/>
    <row r="4875" hidden="1" x14ac:dyDescent="0.3"/>
    <row r="4876" hidden="1" x14ac:dyDescent="0.3"/>
    <row r="4877" hidden="1" x14ac:dyDescent="0.3"/>
    <row r="4878" hidden="1" x14ac:dyDescent="0.3"/>
    <row r="4879" hidden="1" x14ac:dyDescent="0.3"/>
    <row r="4880" hidden="1" x14ac:dyDescent="0.3"/>
    <row r="4881" hidden="1" x14ac:dyDescent="0.3"/>
    <row r="4882" hidden="1" x14ac:dyDescent="0.3"/>
    <row r="4883" hidden="1" x14ac:dyDescent="0.3"/>
    <row r="4884" hidden="1" x14ac:dyDescent="0.3"/>
    <row r="4885" hidden="1" x14ac:dyDescent="0.3"/>
    <row r="4886" hidden="1" x14ac:dyDescent="0.3"/>
    <row r="4887" hidden="1" x14ac:dyDescent="0.3"/>
    <row r="4888" hidden="1" x14ac:dyDescent="0.3"/>
    <row r="4889" hidden="1" x14ac:dyDescent="0.3"/>
    <row r="4890" hidden="1" x14ac:dyDescent="0.3"/>
    <row r="4891" hidden="1" x14ac:dyDescent="0.3"/>
    <row r="4892" hidden="1" x14ac:dyDescent="0.3"/>
    <row r="4893" hidden="1" x14ac:dyDescent="0.3"/>
    <row r="4894" hidden="1" x14ac:dyDescent="0.3"/>
    <row r="4895" hidden="1" x14ac:dyDescent="0.3"/>
    <row r="4896" hidden="1" x14ac:dyDescent="0.3"/>
    <row r="4897" hidden="1" x14ac:dyDescent="0.3"/>
    <row r="4898" hidden="1" x14ac:dyDescent="0.3"/>
    <row r="4899" hidden="1" x14ac:dyDescent="0.3"/>
    <row r="4900" hidden="1" x14ac:dyDescent="0.3"/>
    <row r="4901" hidden="1" x14ac:dyDescent="0.3"/>
    <row r="4902" hidden="1" x14ac:dyDescent="0.3"/>
    <row r="4903" hidden="1" x14ac:dyDescent="0.3"/>
    <row r="4904" hidden="1" x14ac:dyDescent="0.3"/>
    <row r="4905" hidden="1" x14ac:dyDescent="0.3"/>
    <row r="4906" hidden="1" x14ac:dyDescent="0.3"/>
    <row r="4907" hidden="1" x14ac:dyDescent="0.3"/>
    <row r="4908" hidden="1" x14ac:dyDescent="0.3"/>
    <row r="4909" hidden="1" x14ac:dyDescent="0.3"/>
    <row r="4910" hidden="1" x14ac:dyDescent="0.3"/>
    <row r="4911" hidden="1" x14ac:dyDescent="0.3"/>
    <row r="4912" hidden="1" x14ac:dyDescent="0.3"/>
    <row r="4913" hidden="1" x14ac:dyDescent="0.3"/>
    <row r="4914" hidden="1" x14ac:dyDescent="0.3"/>
    <row r="4915" hidden="1" x14ac:dyDescent="0.3"/>
    <row r="4916" hidden="1" x14ac:dyDescent="0.3"/>
    <row r="4917" hidden="1" x14ac:dyDescent="0.3"/>
    <row r="4918" hidden="1" x14ac:dyDescent="0.3"/>
    <row r="4919" hidden="1" x14ac:dyDescent="0.3"/>
    <row r="4920" hidden="1" x14ac:dyDescent="0.3"/>
    <row r="4921" hidden="1" x14ac:dyDescent="0.3"/>
    <row r="4922" hidden="1" x14ac:dyDescent="0.3"/>
    <row r="4923" hidden="1" x14ac:dyDescent="0.3"/>
    <row r="4924" hidden="1" x14ac:dyDescent="0.3"/>
    <row r="4925" hidden="1" x14ac:dyDescent="0.3"/>
    <row r="4926" hidden="1" x14ac:dyDescent="0.3"/>
    <row r="4927" hidden="1" x14ac:dyDescent="0.3"/>
    <row r="4928" hidden="1" x14ac:dyDescent="0.3"/>
    <row r="4929" hidden="1" x14ac:dyDescent="0.3"/>
    <row r="4930" hidden="1" x14ac:dyDescent="0.3"/>
    <row r="4931" hidden="1" x14ac:dyDescent="0.3"/>
    <row r="4932" hidden="1" x14ac:dyDescent="0.3"/>
    <row r="4933" hidden="1" x14ac:dyDescent="0.3"/>
    <row r="4934" hidden="1" x14ac:dyDescent="0.3"/>
    <row r="4935" hidden="1" x14ac:dyDescent="0.3"/>
    <row r="4936" hidden="1" x14ac:dyDescent="0.3"/>
    <row r="4937" hidden="1" x14ac:dyDescent="0.3"/>
    <row r="4938" hidden="1" x14ac:dyDescent="0.3"/>
    <row r="4939" hidden="1" x14ac:dyDescent="0.3"/>
    <row r="4940" hidden="1" x14ac:dyDescent="0.3"/>
    <row r="4941" hidden="1" x14ac:dyDescent="0.3"/>
    <row r="4942" hidden="1" x14ac:dyDescent="0.3"/>
    <row r="4943" hidden="1" x14ac:dyDescent="0.3"/>
    <row r="4944" hidden="1" x14ac:dyDescent="0.3"/>
    <row r="4945" hidden="1" x14ac:dyDescent="0.3"/>
    <row r="4946" hidden="1" x14ac:dyDescent="0.3"/>
    <row r="4947" hidden="1" x14ac:dyDescent="0.3"/>
    <row r="4948" hidden="1" x14ac:dyDescent="0.3"/>
    <row r="4949" hidden="1" x14ac:dyDescent="0.3"/>
    <row r="4950" hidden="1" x14ac:dyDescent="0.3"/>
    <row r="4951" hidden="1" x14ac:dyDescent="0.3"/>
    <row r="4952" hidden="1" x14ac:dyDescent="0.3"/>
    <row r="4953" hidden="1" x14ac:dyDescent="0.3"/>
    <row r="4954" hidden="1" x14ac:dyDescent="0.3"/>
    <row r="4955" hidden="1" x14ac:dyDescent="0.3"/>
    <row r="4956" hidden="1" x14ac:dyDescent="0.3"/>
    <row r="4957" hidden="1" x14ac:dyDescent="0.3"/>
    <row r="4958" hidden="1" x14ac:dyDescent="0.3"/>
    <row r="4959" hidden="1" x14ac:dyDescent="0.3"/>
    <row r="4960" hidden="1" x14ac:dyDescent="0.3"/>
    <row r="4961" hidden="1" x14ac:dyDescent="0.3"/>
    <row r="4962" hidden="1" x14ac:dyDescent="0.3"/>
    <row r="4963" hidden="1" x14ac:dyDescent="0.3"/>
    <row r="4964" hidden="1" x14ac:dyDescent="0.3"/>
    <row r="4965" hidden="1" x14ac:dyDescent="0.3"/>
    <row r="4966" hidden="1" x14ac:dyDescent="0.3"/>
    <row r="4967" hidden="1" x14ac:dyDescent="0.3"/>
    <row r="4968" hidden="1" x14ac:dyDescent="0.3"/>
    <row r="4969" hidden="1" x14ac:dyDescent="0.3"/>
    <row r="4970" hidden="1" x14ac:dyDescent="0.3"/>
    <row r="4971" hidden="1" x14ac:dyDescent="0.3"/>
    <row r="4972" hidden="1" x14ac:dyDescent="0.3"/>
    <row r="4973" hidden="1" x14ac:dyDescent="0.3"/>
    <row r="4974" hidden="1" x14ac:dyDescent="0.3"/>
    <row r="4975" hidden="1" x14ac:dyDescent="0.3"/>
    <row r="4976" hidden="1" x14ac:dyDescent="0.3"/>
    <row r="4977" hidden="1" x14ac:dyDescent="0.3"/>
    <row r="4978" hidden="1" x14ac:dyDescent="0.3"/>
    <row r="4979" hidden="1" x14ac:dyDescent="0.3"/>
    <row r="4980" hidden="1" x14ac:dyDescent="0.3"/>
    <row r="4981" hidden="1" x14ac:dyDescent="0.3"/>
    <row r="4982" hidden="1" x14ac:dyDescent="0.3"/>
    <row r="4983" hidden="1" x14ac:dyDescent="0.3"/>
    <row r="4984" hidden="1" x14ac:dyDescent="0.3"/>
    <row r="4985" hidden="1" x14ac:dyDescent="0.3"/>
    <row r="4986" hidden="1" x14ac:dyDescent="0.3"/>
    <row r="4987" hidden="1" x14ac:dyDescent="0.3"/>
    <row r="4988" hidden="1" x14ac:dyDescent="0.3"/>
    <row r="4989" hidden="1" x14ac:dyDescent="0.3"/>
    <row r="4990" hidden="1" x14ac:dyDescent="0.3"/>
    <row r="4991" hidden="1" x14ac:dyDescent="0.3"/>
    <row r="4992" hidden="1" x14ac:dyDescent="0.3"/>
    <row r="4993" hidden="1" x14ac:dyDescent="0.3"/>
    <row r="4994" hidden="1" x14ac:dyDescent="0.3"/>
    <row r="4995" hidden="1" x14ac:dyDescent="0.3"/>
    <row r="4996" hidden="1" x14ac:dyDescent="0.3"/>
    <row r="4997" hidden="1" x14ac:dyDescent="0.3"/>
    <row r="4998" hidden="1" x14ac:dyDescent="0.3"/>
  </sheetData>
  <mergeCells count="3">
    <mergeCell ref="A1:E1"/>
    <mergeCell ref="A2:E2"/>
    <mergeCell ref="A9:E9"/>
  </mergeCells>
  <conditionalFormatting sqref="D5">
    <cfRule type="expression" dxfId="45" priority="1">
      <formula>$D$5&lt;=$D$6</formula>
    </cfRule>
    <cfRule type="expression" dxfId="44" priority="2">
      <formula>$D$5&gt;$D$6</formula>
    </cfRule>
  </conditionalFormatting>
  <conditionalFormatting sqref="D7">
    <cfRule type="expression" dxfId="43" priority="3">
      <formula>$D$7="Erfüllt"</formula>
    </cfRule>
    <cfRule type="expression" dxfId="42" priority="4">
      <formula>$D$7="Nicht erfüllt"</formula>
    </cfRule>
  </conditionalFormatting>
  <dataValidations count="1">
    <dataValidation type="whole" operator="greaterThanOrEqual" showInputMessage="1" showErrorMessage="1" errorTitle="Ungültiger Messwert" error="Bitte eine nichtnegative ganze Zahl eingeben." promptTitle="Response Time" prompt="Nichtnegative Millisekunden als ganze Zahl eingeben." sqref="C11:C20" xr:uid="{30AA27AE-9E4F-447C-861C-EFDFF7ED9AA7}">
      <formula1>0</formula1>
    </dataValidation>
  </dataValidation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KPI-Übersicht</vt:lpstr>
      <vt:lpstr>Usability-Test</vt:lpstr>
      <vt:lpstr>Kalendersynchronisation</vt:lpstr>
      <vt:lpstr>Funktionale Tests</vt:lpstr>
      <vt:lpstr>Verfügbarkeit</vt:lpstr>
      <vt:lpstr>Response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Huttarsch</dc:creator>
  <cp:lastModifiedBy>Leon Huttarsch</cp:lastModifiedBy>
  <dcterms:created xsi:type="dcterms:W3CDTF">2026-09-22T12:49:08Z</dcterms:created>
  <dcterms:modified xsi:type="dcterms:W3CDTF">2026-09-24T06:24:32Z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ac9f92-1d4e-4aae-b975-a9900684008d_Enabled">
    <vt:lpwstr>true</vt:lpwstr>
  </property>
  <property fmtid="{D5CDD505-2E9C-101B-9397-08002B2CF9AE}" pid="3" name="MSIP_Label_3dac9f92-1d4e-4aae-b975-a9900684008d_SetDate">
    <vt:lpwstr>2026-09-22T13:12:41Z</vt:lpwstr>
  </property>
  <property fmtid="{D5CDD505-2E9C-101B-9397-08002B2CF9AE}" pid="4" name="MSIP_Label_3dac9f92-1d4e-4aae-b975-a9900684008d_Method">
    <vt:lpwstr>Standard</vt:lpwstr>
  </property>
  <property fmtid="{D5CDD505-2E9C-101B-9397-08002B2CF9AE}" pid="5" name="MSIP_Label_3dac9f92-1d4e-4aae-b975-a9900684008d_Name">
    <vt:lpwstr>DB Intern</vt:lpwstr>
  </property>
  <property fmtid="{D5CDD505-2E9C-101B-9397-08002B2CF9AE}" pid="6" name="MSIP_Label_3dac9f92-1d4e-4aae-b975-a9900684008d_SiteId">
    <vt:lpwstr>a1a72d9c-49e6-4f6d-9af6-5aafa1183bfd</vt:lpwstr>
  </property>
  <property fmtid="{D5CDD505-2E9C-101B-9397-08002B2CF9AE}" pid="7" name="MSIP_Label_3dac9f92-1d4e-4aae-b975-a9900684008d_ActionId">
    <vt:lpwstr>e24fc891-7ea7-4621-b821-e16b3964203e</vt:lpwstr>
  </property>
  <property fmtid="{D5CDD505-2E9C-101B-9397-08002B2CF9AE}" pid="8" name="MSIP_Label_3dac9f92-1d4e-4aae-b975-a9900684008d_ContentBits">
    <vt:lpwstr>1</vt:lpwstr>
  </property>
  <property fmtid="{D5CDD505-2E9C-101B-9397-08002B2CF9AE}" pid="9" name="MSIP_Label_3dac9f92-1d4e-4aae-b975-a9900684008d_Tag">
    <vt:lpwstr>10, 3, 0, 1</vt:lpwstr>
  </property>
</Properties>
</file>